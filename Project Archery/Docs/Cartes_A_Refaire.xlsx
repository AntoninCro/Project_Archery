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romle\Desktop\cours anto\STOOS\projet archery\Project_Archery\Project Archery\Docs\"/>
    </mc:Choice>
  </mc:AlternateContent>
  <xr:revisionPtr revIDLastSave="0" documentId="13_ncr:1_{3471979E-C616-4EE0-A186-E985986A7B33}" xr6:coauthVersionLast="47" xr6:coauthVersionMax="47" xr10:uidLastSave="{00000000-0000-0000-0000-000000000000}"/>
  <bookViews>
    <workbookView xWindow="-110" yWindow="-110" windowWidth="25820" windowHeight="15500" activeTab="1" xr2:uid="{00000000-000D-0000-FFFF-FFFF00000000}"/>
  </bookViews>
  <sheets>
    <sheet name="Mode d'emploi" sheetId="1" r:id="rId1"/>
    <sheet name="Pièces" sheetId="2" r:id="rId2"/>
    <sheet name="Duos" sheetId="3" r:id="rId3"/>
    <sheet name="Parchemin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1" l="1"/>
  <c r="B22" i="1"/>
  <c r="C21" i="1"/>
  <c r="B21" i="1"/>
  <c r="C20" i="1"/>
  <c r="B20" i="1"/>
  <c r="B23" i="1" s="1"/>
  <c r="C2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I1" authorId="0" shapeId="0" xr:uid="{00000000-0006-0000-0200-000001000000}">
      <text>
        <r>
          <rPr>
            <sz val="11"/>
            <color theme="1"/>
            <rFont val="Calibri"/>
            <family val="2"/>
            <scheme val="minor"/>
          </rPr>
          <t>Un duo n'est pas une carte : il s'allume quand ses deux pièces sont équipées. Écris une rareté seulement si tu veux qu'elle compte (sa couleur, un duo qui ne s'allume qu'avec des pièces de cette rareté…), et dis-le à côté.</t>
        </r>
      </text>
    </comment>
  </commentList>
</comments>
</file>

<file path=xl/sharedStrings.xml><?xml version="1.0" encoding="utf-8"?>
<sst xmlns="http://schemas.openxmlformats.org/spreadsheetml/2006/main" count="601" uniqueCount="449">
  <si>
    <t>Cartes à refaire (27 octobre au soir)</t>
  </si>
  <si>
    <t>Une ligne par pièce (43), par duo (32) et par parchemin (3), avec ce qu'elle fait aujourd'hui, après le deuxième tour du patch note et l'équilibrage du soir (tir écho légendaire, pluie à 35 %, chasse à l'homme ×1,5).</t>
  </si>
  <si>
    <t>Comment le remplir</t>
  </si>
  <si>
    <t>• Écris seulement dans les quatre colonnes jaunes (titre doré) : nouveau nom, nouvelle description, nouvelle rareté (liste : Commune, Rare, Légendaire) et texte des niveaux suivants.</t>
  </si>
  <si>
    <t>• Une case vide : on garde ce qu'il y a. Pas besoin de tout remplir.</t>
  </si>
  <si>
    <t>• Le texte des niveaux : aujourd'hui, une carte reprise affiche le même texte, avec « niveau 2 » en sous-titre. Écris ce que tu veux lire à la place, par exemple « Niv. 2 : … / Niv. 3 : … ». Il faudra un champ de plus sur les cartes : je l'ajouterai en lisant tes réponses.</t>
  </si>
  <si>
    <t>• La colonne grise « Code » me sert à retrouver la ligne : ne la change pas.</t>
  </si>
  <si>
    <t>• Tu peux aussi changer un effet : écris-le dans la description ou le texte des niveaux, je le coderai.</t>
  </si>
  <si>
    <t>Exemple de ligne remplie (Pointe de chasseur)</t>
  </si>
  <si>
    <t>Nouveau nom : Marque du chasseur</t>
  </si>
  <si>
    <t>Nouvelle description : Marque la cible : elle prend +100 % de dégâts. À sa mort, la marque saute</t>
  </si>
  <si>
    <t>Nouvelle rareté : Commune</t>
  </si>
  <si>
    <t>Texte des niveaux : Niv. 2 : +150 % / Niv. 3 : +200 %</t>
  </si>
  <si>
    <t>Les raretés aujourd'hui</t>
  </si>
  <si>
    <t>Tirage d'une carte d'objet en boutique : commune 20 %, rare 60 %, légendaire 20 % (prix 120 / 160 / 220 or, plus cher à chaque vague). Tableau ci-dessous : il compte tes choix au fur et à mesure (une case vide garde la rareté actuelle).</t>
  </si>
  <si>
    <t>Pièces</t>
  </si>
  <si>
    <t>Aujourd'hui</t>
  </si>
  <si>
    <t>Après tes choix</t>
  </si>
  <si>
    <t>Commune</t>
  </si>
  <si>
    <t>Rare</t>
  </si>
  <si>
    <t>Légendaire</t>
  </si>
  <si>
    <t>Total</t>
  </si>
  <si>
    <t>Code</t>
  </si>
  <si>
    <t>Emplacement</t>
  </si>
  <si>
    <t>Nom actuel</t>
  </si>
  <si>
    <t>Texte actuel de la carte</t>
  </si>
  <si>
    <t>Rareté actuelle</t>
  </si>
  <si>
    <t>Ce qu'elle fait précisément (niveaux 1 / 2 / 3)</t>
  </si>
  <si>
    <t>Nouveau nom</t>
  </si>
  <si>
    <t>Nouvelle description (la carte)</t>
  </si>
  <si>
    <t>Nouvelle rareté</t>
  </si>
  <si>
    <t>Texte quand on la reprend (niveaux 2 et 3)</t>
  </si>
  <si>
    <t>Lightning</t>
  </si>
  <si>
    <t>Pointe</t>
  </si>
  <si>
    <t>Flèche de foudre</t>
  </si>
  <si>
    <t>20 % de chance d'appeler la foudre</t>
  </si>
  <si>
    <t>Chaque flèche foudroie l'ennemi touché (ou le plus proche à 2,5 m) : 50 / 100 / 150 % des dégâts du tir, et le ralentit de 40 % pendant 2 s.</t>
  </si>
  <si>
    <t>ChainLightning</t>
  </si>
  <si>
    <t>Chaîne d'éclairs</t>
  </si>
  <si>
    <t>La foudre rebondit sur 3 ennemis</t>
  </si>
  <si>
    <t>L'éclair saute sur 3 / 6 / 9 ennemis à moins de 8 m : 30 / 60 / 90 % chacun.</t>
  </si>
  <si>
    <t>Explosive</t>
  </si>
  <si>
    <t>Flèche explosive</t>
  </si>
  <si>
    <t>25 % de chance d'exploser</t>
  </si>
  <si>
    <t>Chaque flèche explose : rayon 3,5 / 4 / 4,5 m, 75 / 100 / 125 % au centre.</t>
  </si>
  <si>
    <t>Fuse</t>
  </si>
  <si>
    <t>Pointe à mèche</t>
  </si>
  <si>
    <t>La flèche plantée explose une seconde plus tard</t>
  </si>
  <si>
    <t>La flèche plantée explose 1 s après : 100 / 125 / 150 % au centre (moitié au bord), rayon 3,5 / 4,25 / 5 m ; 100 mèches au plus (au-delà, la plus ancienne explose tout de suite).</t>
  </si>
  <si>
    <t>FrostTip</t>
  </si>
  <si>
    <t>Pointe de givre</t>
  </si>
  <si>
    <t>L'ennemi touché gèle. Touché gelé, il éclate en glace</t>
  </si>
  <si>
    <t>Chaque coup gèle l'ennemi 1,5 / 2 / 2,5 s (un boss : ralenti de 50 %) ; touché gelé, il éclate : 80 / 110 / 140 % sur 3 m.</t>
  </si>
  <si>
    <t>Splinter</t>
  </si>
  <si>
    <t>Pointe éclatée</t>
  </si>
  <si>
    <t>À l'impact, la flèche se brise en 4 éclats qui filent derrière l'ennemi</t>
  </si>
  <si>
    <t>À l'impact, 4 / 5 / 6 éclats filent derrière l'ennemi : 40 / 50 / 60 % chacun.</t>
  </si>
  <si>
    <t>HunterMark</t>
  </si>
  <si>
    <t>Pointe de chasseur</t>
  </si>
  <si>
    <t>Marque la cible : elle prend double dégâts. À sa mort, la marque saute</t>
  </si>
  <si>
    <t>Marque la cible : +100 / 150 / 200 % de dégâts sur elle ; à sa mort, la marque saute à 12 m.</t>
  </si>
  <si>
    <t>Homing</t>
  </si>
  <si>
    <t>Empennage</t>
  </si>
  <si>
    <t>Auto-visée</t>
  </si>
  <si>
    <t>Les flèches visent l'ennemi proche</t>
  </si>
  <si>
    <t>La flèche tourne de 30 / 60 / 90 °/s vers un ennemi à moins de 12 / 15 / 18 m, dans un cône de 35° (point faible, sinon la tête).</t>
  </si>
  <si>
    <t>Ricochet</t>
  </si>
  <si>
    <t>Tir ricochet</t>
  </si>
  <si>
    <t>La flèche rebondit sur un autre ennemi</t>
  </si>
  <si>
    <t>Sur un ennemi touché, la flèche repart vers le plus proche (12 m) et le suit : 1 / 2 / 3 ricochets, 100 % de la vitesse.</t>
  </si>
  <si>
    <t>Boomerang</t>
  </si>
  <si>
    <t>Empennage boomerang</t>
  </si>
  <si>
    <t>La flèche revient vers toi ; attrape-la (poignée) : elle est dans ta main, et parfaite</t>
  </si>
  <si>
    <t>Demi-tour à 22 m (ou 1,1 s) ou contre le décor (3 fois au plus), retour en ligne droite ; traverse 1 / 2 / 3 ennemis à chaque passage ; attend 1,5 s devant toi. Presse la poignée de la main des flèches près d'elle : une seule flèche prise, elle arrive dans ta main et elle est parfaite.</t>
  </si>
  <si>
    <t>Telekinesis</t>
  </si>
  <si>
    <t>Empennage télékinésie</t>
  </si>
  <si>
    <t>Garde la gâchette de la main de l'arc : la flèche ralentit et tourne comme ta main</t>
  </si>
  <si>
    <t>Garde la gâchette de la main de l'arc (3 s après le tir) : la flèche de l'arme seule ralentit à 50 / 40 / 30 % de sa vitesse (6 m/s au moins) et tourne de 160 °/s, deux fois comme ta main.</t>
  </si>
  <si>
    <t>Bounce</t>
  </si>
  <si>
    <t>Empennage rebond</t>
  </si>
  <si>
    <t>La flèche rebondit 3 fois sur le sol et les murs</t>
  </si>
  <si>
    <t>3 / 5 / 7 rebonds sur le sol et les murs (80 % de la vitesse ; la pluie, 5 m/s au moins) ; les flèches nées d'une pièce ne rebondissent pas.</t>
  </si>
  <si>
    <t>Feather</t>
  </si>
  <si>
    <t>Empennage plume</t>
  </si>
  <si>
    <t>La flèche ne tombe plus, et va plus vite</t>
  </si>
  <si>
    <t>Plus de chute, flèches 25 / 50 / 75 % plus rapides.</t>
  </si>
  <si>
    <t>Lead</t>
  </si>
  <si>
    <t>Empennage de plomb</t>
  </si>
  <si>
    <t>Flèche lourde : une onde de choc là où elle touche le décor</t>
  </si>
  <si>
    <t>Flèche 2,5 fois plus lourde ; contre le décor, une onde de choc de 60 / 80 / 100 % sur 2,5 / 3 / 3,5 m.</t>
  </si>
  <si>
    <t>Dive</t>
  </si>
  <si>
    <t>Empennage piqué</t>
  </si>
  <si>
    <t>Tirée vers le ciel, la flèche pique sur l'ennemi le plus proche</t>
  </si>
  <si>
    <t>Un tir au-dessus de 15° monte 0,45 s (ou jusqu'à son sommet), puis pique à 40 m/s sur l'ennemi le plus proche de la visée (30°, 40 / 50 / 60 m) : dégâts ×1,5 / 1,75 / 2.</t>
  </si>
  <si>
    <t>Recall</t>
  </si>
  <si>
    <t>Empennage de rappel</t>
  </si>
  <si>
    <t>Ferme le poing : tes flèches plantées reviennent en traversant les ennemis</t>
  </si>
  <si>
    <t>Poing fermé devant soi : 100 flèches plantées au plus reviennent à 28 m/s et blessent tout ennemi à moins de 0,9 m de leur trajet (80 / 100 / 120 %) ; une flèche plantée dans un ennemi le blesse en s'arrachant ; ce que faisait la flèche reste en place.</t>
  </si>
  <si>
    <t>Piercing</t>
  </si>
  <si>
    <t>Fût</t>
  </si>
  <si>
    <t>Perçage</t>
  </si>
  <si>
    <t>25 % de chance de traverser un ennemi</t>
  </si>
  <si>
    <t>La flèche traverse 2 / 4 / tous les ennemis, sans perdre de dégâts.</t>
  </si>
  <si>
    <t>Frost</t>
  </si>
  <si>
    <t>Flèche de glace</t>
  </si>
  <si>
    <t>25 % de chance de geler le sol</t>
  </si>
  <si>
    <t>Chaque flèche pose une zone de glace : 3 / 4 / 5 m, 5 s, ralentit de 40 / 50 / 60 % (16 zones au plus).</t>
  </si>
  <si>
    <t>Deluge</t>
  </si>
  <si>
    <t>Déluge</t>
  </si>
  <si>
    <t>50 % de chance que la flèche se divise</t>
  </si>
  <si>
    <t>0,15 à 0,3 s après le tir, la flèche se divise : +1 / 2 / 3 flèches (5° d'écart).</t>
  </si>
  <si>
    <t>Magnet</t>
  </si>
  <si>
    <t>Fût aimant</t>
  </si>
  <si>
    <t>La flèche plantée attire les ennemis autour d'elle</t>
  </si>
  <si>
    <t>La flèche plantée attire les ennemis (pas les boss) : 6 / 7,5 / 9 m, 2,5 / 3 / 3,5 s ; 9 aimants au plus.</t>
  </si>
  <si>
    <t>Conductor</t>
  </si>
  <si>
    <t>Fût conducteur</t>
  </si>
  <si>
    <t>Deux flèches plantées proches : un arc électrique entre elles</t>
  </si>
  <si>
    <t>Deux flèches plantées à moins de 8 m sont reliées par un arc : 6 / 7,5 / 9 s, 80 / 120 / 160 % par seconde ; 100 arcs et 100 flèches au plus.</t>
  </si>
  <si>
    <t>Spike</t>
  </si>
  <si>
    <t>Fût-pieu</t>
  </si>
  <si>
    <t>Plantée au sol, elle blesse et ralentit les ennemis qui passent dessus</t>
  </si>
  <si>
    <t>Plantée au sol, elle blesse (17,5 / 25 / 32,5 % toutes les 0,3 s) et ralentit dans un rayon de 2 m, pendant 8 / 10 / 12 s ; 20 pieux au plus.</t>
  </si>
  <si>
    <t>Detonator</t>
  </si>
  <si>
    <t>Fût détonateur</t>
  </si>
  <si>
    <t>Tire sur une de tes flèches plantées : elle éclate en 6 flèches</t>
  </si>
  <si>
    <t>Tire à moins de 30 cm d'une de tes flèches plantées, ou touche à moins de 0,6 m : elle éclate en 6 / 8 / 10 flèches (60 / 80 / 100 %) vers les ennemis à moins de 10 m ; 100 détonateurs au plus.</t>
  </si>
  <si>
    <t>Suspended</t>
  </si>
  <si>
    <t>Fût suspendu</t>
  </si>
  <si>
    <t>La flèche s'arrête en l'air ; la gâchette de l'autre main les envoie là où elle vise</t>
  </si>
  <si>
    <t>La flèche s'arrête en l'air 0,15 s après le tir et attend 3 / 4 / 5 s ; la gâchette de l'autre main les envoie vers le point visé (rayon et cercle pour viser).</t>
  </si>
  <si>
    <t>Sentinel</t>
  </si>
  <si>
    <t>Fût-sentinelle</t>
  </si>
  <si>
    <t>Plantée au sol, la flèche tire sur l'ennemi le plus proche</t>
  </si>
  <si>
    <t>Plantée au sol, elle tire 1 fois par seconde sur l'ennemi le plus proche (15 m) : 30 / 40 / 50 %, pendant 5 / 6,5 / 8 s ; 100 sentinelles au plus.</t>
  </si>
  <si>
    <t>HeadHunter</t>
  </si>
  <si>
    <t>Corde</t>
  </si>
  <si>
    <t>Chasseur de têtes</t>
  </si>
  <si>
    <t>+25 % de dégâts à la tête</t>
  </si>
  <si>
    <t>+50 / 100 / 150 % de dégâts à la tête.</t>
  </si>
  <si>
    <t>Multishot</t>
  </si>
  <si>
    <t>Multitir</t>
  </si>
  <si>
    <t>+50 % de chance de tirer une flèche supplémentaire</t>
  </si>
  <si>
    <t>+1 / 2 / 3 flèches à chaque tir (2° d'écart).</t>
  </si>
  <si>
    <t>Echo</t>
  </si>
  <si>
    <t>Tir écho</t>
  </si>
  <si>
    <t>25 % de chance de répéter le tir</t>
  </si>
  <si>
    <t>0,25 s après, le tir se répète depuis la flèche en vol : 1 / 2 / 3 échos sûrs (toute la volée).</t>
  </si>
  <si>
    <t>Triple</t>
  </si>
  <si>
    <t>Corde triple</t>
  </si>
  <si>
    <t>3 flèches en éventail, dans le plan de l'arc : penche l'arc pour le tourner</t>
  </si>
  <si>
    <t>+2 / 4 / 6 flèches en éventail, 9° d'écart, dans le plan de l'arc.</t>
  </si>
  <si>
    <t>Trance</t>
  </si>
  <si>
    <t>Corde de transe</t>
  </si>
  <si>
    <t>Chaque tir parfait d'affilée frappe plus fort ; au 5e, la flèche traverse tout</t>
  </si>
  <si>
    <t>Chaque parfait d'affilée : +15 / 20 / 25 % de dégâts et anneau 8 % plus rapide (5 au plus) ; dès le 5e, chaque flèche est dorée et traverse tout, et le vert de l'anneau devient doré.</t>
  </si>
  <si>
    <t>Falcon</t>
  </si>
  <si>
    <t>Corde du faucon</t>
  </si>
  <si>
    <t>À pleine tension, le temps ralentit</t>
  </si>
  <si>
    <t>À pleine tension, le temps passe à ×0,4 / 0,35 / 0,3 pendant 1,5 / 2 / 2,5 s, une fois par tension.</t>
  </si>
  <si>
    <t>Siege</t>
  </si>
  <si>
    <t>Corde de siège</t>
  </si>
  <si>
    <t>Garde la tension au bout de l'anneau : le tir se charge (jusqu'à ×2,5)</t>
  </si>
  <si>
    <t>Garder la tension au bout de l'anneau (le vert clair) charge le tir en 2 s : jusqu'à 2,5 / 3 / 3,5 fois un tir parfait, et 3 / 4 / 5 ennemis traversés ; aussi le laser cosmique. Akimbow : chaque arbalète qui attend se charge. Katana : une faille mûrit en 2 s, de ×1 à ×2,5 / 3 / 3,5.</t>
  </si>
  <si>
    <t>Rain</t>
  </si>
  <si>
    <t>Corde de pluie</t>
  </si>
  <si>
    <t>En vol, la flèche sème des flèches tout le long de sa traînée</t>
  </si>
  <si>
    <t>La flèche sème des flèches le long de sa traînée : une tous les 4 / 3 / 2 m, à partir de 3 m de l'arc, 16 / 24 / 32 au plus, à 35 % chacune, avec les pièces. L'arc légendaire voit sa propre pluie multipliée par 2 / 3 / 4.</t>
  </si>
  <si>
    <t>Ghost</t>
  </si>
  <si>
    <t>Corde fantôme</t>
  </si>
  <si>
    <t>Juste après un tir, tire la corde à vide : une flèche fantôme part</t>
  </si>
  <si>
    <t>Dans les 1,2 s après un tir, attrape la corde à vide près de l'encoche, tire-la de 30 cm et lâche : une flèche fantôme à 120 / 150 / 200 %, avec aide à la visée. Jamais proposée avec les Akimbow ni le katana.</t>
  </si>
  <si>
    <t>Vampirism</t>
  </si>
  <si>
    <t>Talisman</t>
  </si>
  <si>
    <t>Vampirisme</t>
  </si>
  <si>
    <t>+2 PV par tir à la tête</t>
  </si>
  <si>
    <t>+3 / 6 / 9 PV par tir à la tête.</t>
  </si>
  <si>
    <t>Acrobat</t>
  </si>
  <si>
    <t>Talisman d'acrobate</t>
  </si>
  <si>
    <t>En l'air ou en glissade : ralenti, et chaque tir est parfait</t>
  </si>
  <si>
    <t>En l'air ou en glissade (et 0,25 s après) : temps ×0,5 / 0,4 / 0,3 et chaque tir parfait ; la glissade s'arrête à mi-vitesse.</t>
  </si>
  <si>
    <t>Sniper</t>
  </si>
  <si>
    <t>Talisman du sniper</t>
  </si>
  <si>
    <t>+2 % de dégâts par mètre au-delà de 15 m, moitié moins tout près</t>
  </si>
  <si>
    <t>Dégâts divisés par deux sous 10 m, normaux à 15 m, puis +2 / 3 / 4 % par mètre.</t>
  </si>
  <si>
    <t>GlassPact</t>
  </si>
  <si>
    <t>Pacte de verre</t>
  </si>
  <si>
    <t>Dégâts ×2, mais chaque tir raté coûte 5 PV</t>
  </si>
  <si>
    <t>Dégâts ×2 / ×2,5 / ×3 ; chaque tir raté coûte 5 PV.</t>
  </si>
  <si>
    <t>Engineer</t>
  </si>
  <si>
    <t>Talisman de l'ingénieur</t>
  </si>
  <si>
    <t>Une flèche dans ta baliste la fait tirer 2 fois plus vite 5 s ; un tir parfait répare une barricade</t>
  </si>
  <si>
    <t>Une flèche qui traverse une baliste ou une tour de givre la surcharge 5 / 7 / 9 s : cadence ×2 / 4 / 6, portée ×2, elle rougit ; une flèche à travers une barricade la répare de 10 / 15 / 20 %.</t>
  </si>
  <si>
    <t>Duelist</t>
  </si>
  <si>
    <t>Talisman du duelliste</t>
  </si>
  <si>
    <t>Coup de flèche au corps à corps ×4, et le tir suivant est parfait</t>
  </si>
  <si>
    <t>Coup de flèche au corps à corps ×4 / ×8 / ×12, et le tir suivant est parfait (3 en réserve au plus).</t>
  </si>
  <si>
    <t>Executioner</t>
  </si>
  <si>
    <t>Talisman du bourreau</t>
  </si>
  <si>
    <t>Tir à la tête qui laisse l'ennemi sous 25 % de PV : il meurt net (un boss sous 10 %)</t>
  </si>
  <si>
    <t>Un tir à la tête qui laisse l'ennemi sous 25 / 37 / 50 % de ses PV le tue net (boss : 10 / 15 / 20 % ; MK : 5 / 7,5 / 10 %) ; sa tête explose : 40 % sur 2 m.</t>
  </si>
  <si>
    <t>SuperGrenade</t>
  </si>
  <si>
    <t>Super grenade</t>
  </si>
  <si>
    <t>La grenade à flèches en projette 12 de plus et recharge 50 % plus vite</t>
  </si>
  <si>
    <t>La grenade à flèches en lance +12 / 24 / 36 et recharge 50 / 60 / 70 % plus vite.</t>
  </si>
  <si>
    <t>Miser</t>
  </si>
  <si>
    <t>Talisman de l'avare</t>
  </si>
  <si>
    <t>+1 % de dégâts par tranche de 20 or gardés (+100 % au plus)</t>
  </si>
  <si>
    <t>+1 % de dégâts par 20 / 15 / 10 or gardés, jusqu'à +100 / 150 / 200 %.</t>
  </si>
  <si>
    <t>Les deux pièces</t>
  </si>
  <si>
    <t>Texte actuel (l'annonce « Duo : … ! »)</t>
  </si>
  <si>
    <t>Ce qu'il fait précisément (niveaux 1 / 2 / 3)</t>
  </si>
  <si>
    <t>Nouvelle description</t>
  </si>
  <si>
    <t>Rareté (facultatif)</t>
  </si>
  <si>
    <t>Texte quand ses pièces montent de niveau</t>
  </si>
  <si>
    <t>BlackHole</t>
  </si>
  <si>
    <t>Fût aimant + Pointe à mèche</t>
  </si>
  <si>
    <t>Trou noir</t>
  </si>
  <si>
    <t>La flèche plantée devient un trou noir qui aspire les ennemis, puis explose deux fois plus large et plus fort</t>
  </si>
  <si>
    <t>aucune (pas une carte)</t>
  </si>
  <si>
    <t>La flèche plantée devient un trou noir : il aspire 1,75 fois plus fort pendant 1,5 s, puis explose deux fois plus large, à ×1,5 de dégâts.</t>
  </si>
  <si>
    <t>Tempest</t>
  </si>
  <si>
    <t>Foudre ou Chaîne d'éclairs + Fût conducteur</t>
  </si>
  <si>
    <t>Tempête</t>
  </si>
  <si>
    <t>Les arcs électriques appellent la foudre sur ce qui les traverse</t>
  </si>
  <si>
    <t>À chaque pas d'un arc, 30 % de chance que la foudre frappe un ennemi qui le traverse : 75 %.</t>
  </si>
  <si>
    <t>Scythe</t>
  </si>
  <si>
    <t>Empennage boomerang + Perçage</t>
  </si>
  <si>
    <t>Faux</t>
  </si>
  <si>
    <t>La flèche boomerang fait deux allers-retours, avec une pause devant toi</t>
  </si>
  <si>
    <t>Deux allers-retours ; revenue devant toi, la flèche attend 0,5 s avant de repartir.</t>
  </si>
  <si>
    <t>Swarm</t>
  </si>
  <si>
    <t>Fût suspendu + Auto-visée</t>
  </si>
  <si>
    <t>Essaim</t>
  </si>
  <si>
    <t>Les flèches suspendues tournent autour de toi et partent seules sur les ennemis</t>
  </si>
  <si>
    <t>Les flèches suspendues tournent autour de toi (1,3 m) et partent seules sur un ennemi à moins de 18 m, toutes les 0,35 s.</t>
  </si>
  <si>
    <t>Blizzard</t>
  </si>
  <si>
    <t>Pointe de givre + Corde triple</t>
  </si>
  <si>
    <t>Un ennemi gelé gèle ses voisins</t>
  </si>
  <si>
    <t>Un ennemi gelé gèle ses voisins à moins de 3 m (une fois, sans chaîne).</t>
  </si>
  <si>
    <t>HawkEye</t>
  </si>
  <si>
    <t>Corde du faucon + Talisman du sniper</t>
  </si>
  <si>
    <t>Œil de faucon</t>
  </si>
  <si>
    <t>Pendant le ralenti du faucon, les points faibles brillent à travers le décor ; ils prennent ×1,5</t>
  </si>
  <si>
    <t>Pendant le ralenti du faucon, les points faibles brillent à travers le décor (cadre doré, 10 au plus, 60 m) et prennent ×1,5.</t>
  </si>
  <si>
    <t>MagneticStorm</t>
  </si>
  <si>
    <t>Fût aimant + Foudre ou Chaîne d'éclairs</t>
  </si>
  <si>
    <t>Orage magnétique</t>
  </si>
  <si>
    <t>À la fin de l'aspiration, un éclair frappe chaque ennemi attiré</t>
  </si>
  <si>
    <t>À la fin de l'aspiration, un éclair sur chaque ennemi dans le rayon : 50 %, 100 au plus.</t>
  </si>
  <si>
    <t>GrenadeLauncher</t>
  </si>
  <si>
    <t>Empennage rebond + Pointe à mèche</t>
  </si>
  <si>
    <t>Lance-grenades</t>
  </si>
  <si>
    <t>La flèche explose à chaque rebond, puis la mèche</t>
  </si>
  <si>
    <t>La flèche explose à chaque rebond, au rayon de la mèche, à 75 % de ses dégâts.</t>
  </si>
  <si>
    <t>Supernova</t>
  </si>
  <si>
    <t>Corde de transe + Flèche explosive</t>
  </si>
  <si>
    <t>Dès le 5e tir parfait d'affilée, chaque flèche dorée explose deux fois plus fort et plus large</t>
  </si>
  <si>
    <t>Dès le 5e parfait d'affilée, chaque flèche dorée explose deux fois plus fort et plus large.</t>
  </si>
  <si>
    <t>Manhunt</t>
  </si>
  <si>
    <t>Pointe de chasseur + Talisman du bourreau</t>
  </si>
  <si>
    <t>Chasse à l'homme</t>
  </si>
  <si>
    <t>La cible marquée s'exécute sous un seuil ×1,5, et la marque saute</t>
  </si>
  <si>
    <t>La cible marquée s'exécute sous un seuil ×1,5 (bourreau niv. 3 : 75 % ; boss 30 %), et la marque saute.</t>
  </si>
  <si>
    <t>IronRain</t>
  </si>
  <si>
    <t>Empennage de plomb + Fût-pieu</t>
  </si>
  <si>
    <t>Pluie de fer</t>
  </si>
  <si>
    <t>Chaque onde de choc du plomb plante 3 pieux autour d'elle</t>
  </si>
  <si>
    <t>Chaque onde de choc lance 3 graines en cloche, qui deviennent des pieux (60 %).</t>
  </si>
  <si>
    <t>Billiard</t>
  </si>
  <si>
    <t>Fût détonateur + Tir ricochet</t>
  </si>
  <si>
    <t>Billard</t>
  </si>
  <si>
    <t>Les flèches des détonations font éclater les autres détonateurs : en chaîne</t>
  </si>
  <si>
    <t>Chaque détonation tire droit sur les autres détonateurs à moins de 15 m (4 au plus), qui éclatent à leur tour : en chaîne.</t>
  </si>
  <si>
    <t>FrostFence</t>
  </si>
  <si>
    <t>Fût conducteur + Pointe de givre</t>
  </si>
  <si>
    <t>Clôture de givre</t>
  </si>
  <si>
    <t>Les arcs électriques gèlent ce qui les traverse</t>
  </si>
  <si>
    <t>Les arcs gèlent 1 s ce qui les traverse (une fois toutes les 3 s par ennemi).</t>
  </si>
  <si>
    <t>Network</t>
  </si>
  <si>
    <t>Fût conducteur + Talisman de l'ingénieur</t>
  </si>
  <si>
    <t>Réseau</t>
  </si>
  <si>
    <t>Les arcs électriques relient tes flèches à tes balistes, qu'ils surchargent</t>
  </si>
  <si>
    <t>Une flèche plantée se relie à la baliste ou tour de givre la plus proche (8 m), surchargée tant que le lien dure.</t>
  </si>
  <si>
    <t>Starfall</t>
  </si>
  <si>
    <t>Talisman d'acrobate + Corde triple</t>
  </si>
  <si>
    <t>Étoile filante</t>
  </si>
  <si>
    <t>En l'air ou en glissade, la corde triple tire trois fois plus de flèches, en couronne autour du point visé</t>
  </si>
  <si>
    <t>En l'air ou en glissade (et 0,75 s après) : 6 / 12 / 18 flèches (trois fois celles de la corde triple) en cercle de 2,5 m autour du point visé ; l'écho la répète.</t>
  </si>
  <si>
    <t>Rail</t>
  </si>
  <si>
    <t>Empennage plume + Perçage</t>
  </si>
  <si>
    <t>La flèche devient un trait de lumière, trois fois plus rapide, qui traverse tout et laisse une traînée qui blesse</t>
  </si>
  <si>
    <t>Flèche 3 fois plus rapide qui traverse tout et laisse 1 s une traînée qui blesse (25 % toutes les 0,2 s, 0,5 m).</t>
  </si>
  <si>
    <t>Glacier</t>
  </si>
  <si>
    <t>Flèche de glace + Pointe de givre</t>
  </si>
  <si>
    <t>Un ennemi qui éclate sur la glace gèle tous ceux qui s'y trouvent</t>
  </si>
  <si>
    <t>Un ennemi qui éclate sur la glace gèle tous les autres ennemis de cette zone.</t>
  </si>
  <si>
    <t>Patrol</t>
  </si>
  <si>
    <t>Empennage rebond + Fût-sentinelle</t>
  </si>
  <si>
    <t>Patrouille</t>
  </si>
  <si>
    <t>À chaque rebond, la flèche tire des petites flèches sur les ennemis les plus proches</t>
  </si>
  <si>
    <t>À chaque rebond, 2 / 3 / 4 flèches de sentinelle sur l'ennemi le plus proche.</t>
  </si>
  <si>
    <t>Caltrops</t>
  </si>
  <si>
    <t>Empennage rebond + Fût-pieu</t>
  </si>
  <si>
    <t>Chausse-trappes</t>
  </si>
  <si>
    <t>Chaque rebond au sol sème deux pieux autour de lui, à pleine force</t>
  </si>
  <si>
    <t>À chaque rebond au sol, 2 graines qui deviennent des pieux (100 % des dégâts du pieu).</t>
  </si>
  <si>
    <t>HighVoltage</t>
  </si>
  <si>
    <t>Empennage rebond + Fût conducteur</t>
  </si>
  <si>
    <t>Haute tension</t>
  </si>
  <si>
    <t>Chaque rebond laisse un point électrique : le trajet devient une clôture</t>
  </si>
  <si>
    <t>Chaque rebond laisse un point électrique relié aux plus proches : le trajet devient une clôture.</t>
  </si>
  <si>
    <t>Pinball</t>
  </si>
  <si>
    <t>Empennage rebond + Fût aimant</t>
  </si>
  <si>
    <t>Flipper</t>
  </si>
  <si>
    <t>Chaque rebond attire un instant les ennemis vers lui</t>
  </si>
  <si>
    <t>Chaque rebond, un aimant d'1 s (moitié du rayon, 1,5 fois plus fort).</t>
  </si>
  <si>
    <t>Fragmentation</t>
  </si>
  <si>
    <t>Empennage rebond + Fût détonateur</t>
  </si>
  <si>
    <t>À chaque rebond, des flèches du détonateur partent sur les ennemis proches</t>
  </si>
  <si>
    <t>Chaque rebond, 2 / 3 / 4 flèches du détonateur, à la moitié d'une détonation.</t>
  </si>
  <si>
    <t>IceRink</t>
  </si>
  <si>
    <t>Empennage rebond + Flèche de glace</t>
  </si>
  <si>
    <t>Patinoire</t>
  </si>
  <si>
    <t>Chaque rebond laisse une zone de glace</t>
  </si>
  <si>
    <t>Chaque rebond laisse une zone de glace.</t>
  </si>
  <si>
    <t>Backfire</t>
  </si>
  <si>
    <t>Empennage boomerang + Pointe à mèche</t>
  </si>
  <si>
    <t>Retour de flamme</t>
  </si>
  <si>
    <t>Au demi-tour, la flèche boomerang explose comme la mèche</t>
  </si>
  <si>
    <t>Au demi-tour, une explosion au rayon de la mèche, à 75 % de ses dégâts.</t>
  </si>
  <si>
    <t>Whirlwind</t>
  </si>
  <si>
    <t>Empennage boomerang + Fût aimant</t>
  </si>
  <si>
    <t>Tourbillon</t>
  </si>
  <si>
    <t>Au demi-tour, un aimant attire les ennemis sous la flèche</t>
  </si>
  <si>
    <t>Au demi-tour, un aimant au sol sous la flèche : 2 s, rayon plein, 1,25 fois plus fort.</t>
  </si>
  <si>
    <t>Escort</t>
  </si>
  <si>
    <t>Empennage boomerang + Fût-sentinelle</t>
  </si>
  <si>
    <t>Escorte</t>
  </si>
  <si>
    <t>Au demi-tour, la flèche tire des petites flèches sur les ennemis proches</t>
  </si>
  <si>
    <t>Au demi-tour, 2 / 3 / 4 flèches de sentinelle, chacune sur un ennemi différent.</t>
  </si>
  <si>
    <t>LiveWire</t>
  </si>
  <si>
    <t>Empennage boomerang + Fût conducteur</t>
  </si>
  <si>
    <t>Fil électrique</t>
  </si>
  <si>
    <t>Au demi-tour, un arc électrique relie la flèche à son point de départ</t>
  </si>
  <si>
    <t>Au demi-tour, un arc du demi-tour jusqu'à 1 m de toi, le temps d'un lien du conducteur.</t>
  </si>
  <si>
    <t>Sower</t>
  </si>
  <si>
    <t>Empennage boomerang + Fût-pieu</t>
  </si>
  <si>
    <t>Semeur</t>
  </si>
  <si>
    <t>Au demi-tour, la flèche sème trois pieux au sol</t>
  </si>
  <si>
    <t>Au demi-tour, 3 graines tombent au sol sous la flèche et deviennent des pieux (60 %).</t>
  </si>
  <si>
    <t>Shrapnel</t>
  </si>
  <si>
    <t>Empennage boomerang + Fût détonateur</t>
  </si>
  <si>
    <t>Mitraille</t>
  </si>
  <si>
    <t>Au demi-tour, des flèches du détonateur partent sur les ennemis proches</t>
  </si>
  <si>
    <t>Au demi-tour, 3 / 4 / 5 flèches du détonateur, à 75 % d'une détonation.</t>
  </si>
  <si>
    <t>Cloud</t>
  </si>
  <si>
    <t>Empennage plume + Corde de pluie</t>
  </si>
  <si>
    <t>Nuage</t>
  </si>
  <si>
    <t>Tirée vers le ciel, la flèche plume s'arrête et fait pleuvoir des flèches un moment</t>
  </si>
  <si>
    <t>Un tir au-dessus de 45° s'arrête au bout d'1 s (ou 12 m plus haut), avance à 5 m/s et pleut 2,5 s : 20 / 30 / 40 flèches à 35 %.</t>
  </si>
  <si>
    <t>ExplosiveRecall</t>
  </si>
  <si>
    <t>Empennage de rappel + Pointe à mèche ou Fût détonateur</t>
  </si>
  <si>
    <t>Retour explosif</t>
  </si>
  <si>
    <t>Rappelées, les flèches à mèche explosent et les détonateurs éclatent, puis elles reviennent</t>
  </si>
  <si>
    <t>Au rappel, les mèches explosent tout de suite et les détonateurs éclatent, puis les flèches reviennent.</t>
  </si>
  <si>
    <t>Downpour</t>
  </si>
  <si>
    <t>Fût suspendu + Corde de pluie</t>
  </si>
  <si>
    <t>Averse</t>
  </si>
  <si>
    <t>Relâchées, les flèches suspendues font chacune pleuvoir sur le point visé</t>
  </si>
  <si>
    <t>Relâchées par la gâchette, les flèches suspendues font chacune pleuvoir sur le point visé : 3 / 4 / 5 flèches à 35 %, 2,5 m.</t>
  </si>
  <si>
    <t>Type</t>
  </si>
  <si>
    <t>Ce qu'il fait précisément</t>
  </si>
  <si>
    <t>Texte quand on le reprend</t>
  </si>
  <si>
    <t>Strength</t>
  </si>
  <si>
    <t>Parchemin</t>
  </si>
  <si>
    <t>Force</t>
  </si>
  <si>
    <t>+12 % de dégâts, flèches un peu plus rapides</t>
  </si>
  <si>
    <t>+12 % de dégâts et flèches 2,4 % plus rapides, par exemplaire (sans limite).</t>
  </si>
  <si>
    <t>Dexterity</t>
  </si>
  <si>
    <t>Adresse</t>
  </si>
  <si>
    <t>Anneau 10 % plus rapide, bande verte 10 % plus large</t>
  </si>
  <si>
    <t>Anneau 10 % plus rapide, vert 10 % plus large (les autres bandes +5 %), par exemplaire (sans limite).</t>
  </si>
  <si>
    <t>Vigor</t>
  </si>
  <si>
    <t>Vigueur</t>
  </si>
  <si>
    <t>+25 PV max</t>
  </si>
  <si>
    <t>+25 PV max par exemplaire (sans limite).</t>
  </si>
  <si>
    <t>boomerang</t>
  </si>
  <si>
    <t>un éclair rebondit sur 3 ennemis : 30% de dmg</t>
  </si>
  <si>
    <t>fait aparaitre un élcair : 50% de dmg</t>
  </si>
  <si>
    <t xml:space="preserve">50 % → 100% de dmg et 100 % → 150% de dmg </t>
  </si>
  <si>
    <t>la fleche explose : 100 % de dmg</t>
  </si>
  <si>
    <t>la fleche explose une seconde plus tard : 100% de dmg</t>
  </si>
  <si>
    <t>Marque la cible : elle prend 200% de dmg. À sa mort, la marque saute</t>
  </si>
  <si>
    <t>La flèche revient vers toi ; attrape-la pour faire un tir parfait</t>
  </si>
  <si>
    <t>Garder la gâchette de la main de l'arc appuyé permet de controler la fleche</t>
  </si>
  <si>
    <t>la fleche tombe plus vite et provoque une onde de choc</t>
  </si>
  <si>
    <t>la fleche traverse deux ennemis</t>
  </si>
  <si>
    <t>gele le sol : 40 % de slow</t>
  </si>
  <si>
    <t>la fleche se divise en 1 autre fleche en vol</t>
  </si>
  <si>
    <t>arc conducteur</t>
  </si>
  <si>
    <t>Plantée au sol, elle blesse et ralentit les ennemis qui passent à proximité</t>
  </si>
  <si>
    <t>sol piégé</t>
  </si>
  <si>
    <t>ZA WARUDO</t>
  </si>
  <si>
    <t>50% de dmg à la tete</t>
  </si>
  <si>
    <t xml:space="preserve"> +1 fleche à chaque tir</t>
  </si>
  <si>
    <t>repete le tir 1 fois apres un court délai</t>
  </si>
  <si>
    <t>tir triple</t>
  </si>
  <si>
    <t>transe</t>
  </si>
  <si>
    <t>Chaque tir parfait d'affilée frappe plus fort ; à partir du 5e, les flèches traverse tout</t>
  </si>
  <si>
    <t>patience</t>
  </si>
  <si>
    <t>surcharge</t>
  </si>
  <si>
    <t>pluie de fleche</t>
  </si>
  <si>
    <t>canon de verre</t>
  </si>
  <si>
    <t>Une flèche dans ta baliste la fait tirer 2 fois plus vite 5 s ; un tir dan la barricade la répare</t>
  </si>
  <si>
    <t xml:space="preserve">foudroiement </t>
  </si>
  <si>
    <t>tir explosif</t>
  </si>
  <si>
    <t>tir détonant</t>
  </si>
  <si>
    <t>tir de givre</t>
  </si>
  <si>
    <t>fleche à fragmentation</t>
  </si>
  <si>
    <t>pointe du chasseur</t>
  </si>
  <si>
    <t>tir ricochet</t>
  </si>
  <si>
    <t>tir rebondissant</t>
  </si>
  <si>
    <t>poid plume</t>
  </si>
  <si>
    <t>1 tonne</t>
  </si>
  <si>
    <t>death from the sky</t>
  </si>
  <si>
    <t>rappel de fleche</t>
  </si>
  <si>
    <t>marée de glace</t>
  </si>
  <si>
    <t>fleche à détonation</t>
  </si>
  <si>
    <t>fleche sentinelle</t>
  </si>
  <si>
    <t>corde fantome</t>
  </si>
  <si>
    <t>le style sa compte aussi</t>
  </si>
  <si>
    <t>talisman du sniper</t>
  </si>
  <si>
    <t>talisman de l'ingénieur</t>
  </si>
  <si>
    <t>talisman du bourreau</t>
  </si>
  <si>
    <t>super grenade</t>
  </si>
  <si>
    <t>talisman de l'avare</t>
  </si>
  <si>
    <t>talisman du duelliste</t>
  </si>
  <si>
    <t>conduction ++</t>
  </si>
  <si>
    <t>here we go again</t>
  </si>
  <si>
    <t xml:space="preserve">donnut </t>
  </si>
  <si>
    <t>La flèche explose à chaque rebond</t>
  </si>
  <si>
    <t>focus</t>
  </si>
  <si>
    <t>bombe atomique</t>
  </si>
  <si>
    <t>Les flèches des détonations font éclater les autres détonateurs : réaction en chaîne!</t>
  </si>
  <si>
    <t>éclair givrant</t>
  </si>
  <si>
    <t>360 no scope headshot</t>
  </si>
  <si>
    <t>tir de lumière</t>
  </si>
  <si>
    <t>fleche à fragmentation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</si>
</sst>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Arial"/>
    </font>
    <font>
      <sz val="10"/>
      <color rgb="FF808080"/>
      <name val="Arial"/>
    </font>
    <font>
      <sz val="10"/>
      <color rgb="FF000000"/>
      <name val="Arial"/>
    </font>
    <font>
      <b/>
      <sz val="10"/>
      <color rgb="FF000000"/>
      <name val="Arial"/>
    </font>
    <font>
      <b/>
      <sz val="15"/>
      <color rgb="FF1F3A5F"/>
      <name val="Arial"/>
    </font>
    <font>
      <sz val="10"/>
      <name val="Arial"/>
    </font>
    <font>
      <b/>
      <sz val="11"/>
      <color rgb="FF1F3A5F"/>
      <name val="Arial"/>
    </font>
    <font>
      <b/>
      <sz val="11"/>
      <color rgb="FFFFFFFF"/>
      <name val="Arial"/>
    </font>
    <font>
      <b/>
      <sz val="10"/>
      <name val="Arial"/>
    </font>
  </fonts>
  <fills count="9">
    <fill>
      <patternFill patternType="none"/>
    </fill>
    <fill>
      <patternFill patternType="gray125"/>
    </fill>
    <fill>
      <patternFill patternType="solid">
        <fgColor rgb="FF1F3A5F"/>
      </patternFill>
    </fill>
    <fill>
      <patternFill patternType="solid">
        <fgColor rgb="FFB8860B"/>
      </patternFill>
    </fill>
    <fill>
      <patternFill patternType="solid">
        <fgColor rgb="FFEFEFEF"/>
      </patternFill>
    </fill>
    <fill>
      <patternFill patternType="solid">
        <fgColor rgb="FFDCE8FF"/>
      </patternFill>
    </fill>
    <fill>
      <patternFill patternType="solid">
        <fgColor rgb="FFFFF2A8"/>
      </patternFill>
    </fill>
    <fill>
      <patternFill patternType="solid">
        <fgColor rgb="FFFFF0C2"/>
      </patternFill>
    </fill>
    <fill>
      <patternFill patternType="solid">
        <fgColor rgb="FFF2F2F2"/>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3">
    <xf numFmtId="0" fontId="0" fillId="0" borderId="0" xfId="0"/>
    <xf numFmtId="0" fontId="8" fillId="2" borderId="1" xfId="0" applyFont="1" applyFill="1" applyBorder="1" applyAlignment="1">
      <alignment horizontal="center"/>
    </xf>
    <xf numFmtId="0" fontId="6" fillId="8" borderId="1" xfId="0" applyFont="1" applyFill="1" applyBorder="1"/>
    <xf numFmtId="0" fontId="6" fillId="8" borderId="1" xfId="0" applyFont="1" applyFill="1" applyBorder="1" applyAlignment="1">
      <alignment horizontal="center"/>
    </xf>
    <xf numFmtId="0" fontId="6" fillId="5" borderId="1" xfId="0" applyFont="1" applyFill="1" applyBorder="1"/>
    <xf numFmtId="0" fontId="6" fillId="5" borderId="1" xfId="0" applyFont="1" applyFill="1" applyBorder="1" applyAlignment="1">
      <alignment horizontal="center"/>
    </xf>
    <xf numFmtId="0" fontId="6" fillId="7" borderId="1" xfId="0" applyFont="1" applyFill="1" applyBorder="1"/>
    <xf numFmtId="0" fontId="6" fillId="7" borderId="1" xfId="0" applyFont="1" applyFill="1" applyBorder="1" applyAlignment="1">
      <alignment horizontal="center"/>
    </xf>
    <xf numFmtId="0" fontId="9" fillId="0" borderId="1" xfId="0" applyFont="1" applyBorder="1"/>
    <xf numFmtId="0" fontId="9" fillId="0" borderId="1" xfId="0" applyFont="1" applyBorder="1" applyAlignment="1">
      <alignment horizont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5" fillId="0" borderId="0" xfId="0" applyFont="1" applyAlignment="1">
      <alignment vertical="top" wrapText="1"/>
    </xf>
    <xf numFmtId="0" fontId="0" fillId="0" borderId="0" xfId="0"/>
    <xf numFmtId="0" fontId="6" fillId="0" borderId="0" xfId="0" applyFont="1" applyAlignment="1">
      <alignment vertical="top" wrapText="1"/>
    </xf>
    <xf numFmtId="0" fontId="7"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workbookViewId="0">
      <selection sqref="A1:D1"/>
    </sheetView>
  </sheetViews>
  <sheetFormatPr baseColWidth="10" defaultColWidth="8.7265625" defaultRowHeight="14.5" x14ac:dyDescent="0.35"/>
  <cols>
    <col min="1" max="1" width="24" customWidth="1"/>
    <col min="2" max="2" width="16" customWidth="1"/>
    <col min="3" max="3" width="22" customWidth="1"/>
    <col min="4" max="4" width="60" customWidth="1"/>
  </cols>
  <sheetData>
    <row r="1" spans="1:4" x14ac:dyDescent="0.35">
      <c r="A1" s="19" t="s">
        <v>0</v>
      </c>
      <c r="B1" s="20"/>
      <c r="C1" s="20"/>
      <c r="D1" s="20"/>
    </row>
    <row r="2" spans="1:4" ht="45" customHeight="1" x14ac:dyDescent="0.35">
      <c r="A2" s="21" t="s">
        <v>1</v>
      </c>
      <c r="B2" s="20"/>
      <c r="C2" s="20"/>
      <c r="D2" s="20"/>
    </row>
    <row r="3" spans="1:4" ht="15" customHeight="1" x14ac:dyDescent="0.35">
      <c r="A3" s="21"/>
      <c r="B3" s="20"/>
      <c r="C3" s="20"/>
      <c r="D3" s="20"/>
    </row>
    <row r="4" spans="1:4" x14ac:dyDescent="0.35">
      <c r="A4" s="22" t="s">
        <v>2</v>
      </c>
      <c r="B4" s="20"/>
      <c r="C4" s="20"/>
      <c r="D4" s="20"/>
    </row>
    <row r="5" spans="1:4" ht="30" customHeight="1" x14ac:dyDescent="0.35">
      <c r="A5" s="21" t="s">
        <v>3</v>
      </c>
      <c r="B5" s="20"/>
      <c r="C5" s="20"/>
      <c r="D5" s="20"/>
    </row>
    <row r="6" spans="1:4" ht="15" customHeight="1" x14ac:dyDescent="0.35">
      <c r="A6" s="21" t="s">
        <v>4</v>
      </c>
      <c r="B6" s="20"/>
      <c r="C6" s="20"/>
      <c r="D6" s="20"/>
    </row>
    <row r="7" spans="1:4" ht="45" customHeight="1" x14ac:dyDescent="0.35">
      <c r="A7" s="21" t="s">
        <v>5</v>
      </c>
      <c r="B7" s="20"/>
      <c r="C7" s="20"/>
      <c r="D7" s="20"/>
    </row>
    <row r="8" spans="1:4" ht="15" customHeight="1" x14ac:dyDescent="0.35">
      <c r="A8" s="21" t="s">
        <v>6</v>
      </c>
      <c r="B8" s="20"/>
      <c r="C8" s="20"/>
      <c r="D8" s="20"/>
    </row>
    <row r="9" spans="1:4" ht="30" customHeight="1" x14ac:dyDescent="0.35">
      <c r="A9" s="21" t="s">
        <v>7</v>
      </c>
      <c r="B9" s="20"/>
      <c r="C9" s="20"/>
      <c r="D9" s="20"/>
    </row>
    <row r="10" spans="1:4" ht="15" customHeight="1" x14ac:dyDescent="0.35">
      <c r="A10" s="21"/>
      <c r="B10" s="20"/>
      <c r="C10" s="20"/>
      <c r="D10" s="20"/>
    </row>
    <row r="11" spans="1:4" x14ac:dyDescent="0.35">
      <c r="A11" s="22" t="s">
        <v>8</v>
      </c>
      <c r="B11" s="20"/>
      <c r="C11" s="20"/>
      <c r="D11" s="20"/>
    </row>
    <row r="12" spans="1:4" ht="15" customHeight="1" x14ac:dyDescent="0.35">
      <c r="A12" s="21" t="s">
        <v>9</v>
      </c>
      <c r="B12" s="20"/>
      <c r="C12" s="20"/>
      <c r="D12" s="20"/>
    </row>
    <row r="13" spans="1:4" ht="30" customHeight="1" x14ac:dyDescent="0.35">
      <c r="A13" s="21" t="s">
        <v>10</v>
      </c>
      <c r="B13" s="20"/>
      <c r="C13" s="20"/>
      <c r="D13" s="20"/>
    </row>
    <row r="14" spans="1:4" ht="15" customHeight="1" x14ac:dyDescent="0.35">
      <c r="A14" s="21" t="s">
        <v>11</v>
      </c>
      <c r="B14" s="20"/>
      <c r="C14" s="20"/>
      <c r="D14" s="20"/>
    </row>
    <row r="15" spans="1:4" ht="15" customHeight="1" x14ac:dyDescent="0.35">
      <c r="A15" s="21" t="s">
        <v>12</v>
      </c>
      <c r="B15" s="20"/>
      <c r="C15" s="20"/>
      <c r="D15" s="20"/>
    </row>
    <row r="16" spans="1:4" ht="15" customHeight="1" x14ac:dyDescent="0.35">
      <c r="A16" s="21"/>
      <c r="B16" s="20"/>
      <c r="C16" s="20"/>
      <c r="D16" s="20"/>
    </row>
    <row r="17" spans="1:4" x14ac:dyDescent="0.35">
      <c r="A17" s="22" t="s">
        <v>13</v>
      </c>
      <c r="B17" s="20"/>
      <c r="C17" s="20"/>
      <c r="D17" s="20"/>
    </row>
    <row r="18" spans="1:4" ht="45" customHeight="1" x14ac:dyDescent="0.35">
      <c r="A18" s="21" t="s">
        <v>14</v>
      </c>
      <c r="B18" s="20"/>
      <c r="C18" s="20"/>
      <c r="D18" s="20"/>
    </row>
    <row r="19" spans="1:4" x14ac:dyDescent="0.35">
      <c r="A19" s="1" t="s">
        <v>15</v>
      </c>
      <c r="B19" s="1" t="s">
        <v>16</v>
      </c>
      <c r="C19" s="1" t="s">
        <v>17</v>
      </c>
    </row>
    <row r="20" spans="1:4" x14ac:dyDescent="0.35">
      <c r="A20" s="2" t="s">
        <v>18</v>
      </c>
      <c r="B20" s="3">
        <f>COUNTIF(Pièces!$E$2:$E$44,A20)</f>
        <v>1</v>
      </c>
      <c r="C20" s="3">
        <f>COUNTIF(Pièces!$I$2:$I$44,A20)+COUNTIFS(Pièces!$I$2:$I$44,"",Pièces!$E$2:$E$44,A20)</f>
        <v>13</v>
      </c>
    </row>
    <row r="21" spans="1:4" x14ac:dyDescent="0.35">
      <c r="A21" s="4" t="s">
        <v>19</v>
      </c>
      <c r="B21" s="5">
        <f>COUNTIF(Pièces!$E$2:$E$44,A21)</f>
        <v>28</v>
      </c>
      <c r="C21" s="5">
        <f>COUNTIF(Pièces!$I$2:$I$44,A21)+COUNTIFS(Pièces!$I$2:$I$44,"",Pièces!$E$2:$E$44,A21)</f>
        <v>18</v>
      </c>
    </row>
    <row r="22" spans="1:4" x14ac:dyDescent="0.35">
      <c r="A22" s="6" t="s">
        <v>20</v>
      </c>
      <c r="B22" s="7">
        <f>COUNTIF(Pièces!$E$2:$E$44,A22)</f>
        <v>14</v>
      </c>
      <c r="C22" s="7">
        <f>COUNTIF(Pièces!$I$2:$I$44,A22)+COUNTIFS(Pièces!$I$2:$I$44,"",Pièces!$E$2:$E$44,A22)</f>
        <v>12</v>
      </c>
    </row>
    <row r="23" spans="1:4" x14ac:dyDescent="0.35">
      <c r="A23" s="8" t="s">
        <v>21</v>
      </c>
      <c r="B23" s="9">
        <f>SUM(B20:B22)</f>
        <v>43</v>
      </c>
      <c r="C23" s="9">
        <f>SUM(C20:C22)</f>
        <v>43</v>
      </c>
    </row>
  </sheetData>
  <mergeCells count="18">
    <mergeCell ref="A18:D18"/>
    <mergeCell ref="A6:D6"/>
    <mergeCell ref="A12:D12"/>
    <mergeCell ref="A4:D4"/>
    <mergeCell ref="A3:D3"/>
    <mergeCell ref="A15:D15"/>
    <mergeCell ref="A7:D7"/>
    <mergeCell ref="A11:D11"/>
    <mergeCell ref="A16:D16"/>
    <mergeCell ref="A10:D10"/>
    <mergeCell ref="A13:D13"/>
    <mergeCell ref="A14:D14"/>
    <mergeCell ref="A1:D1"/>
    <mergeCell ref="A5:D5"/>
    <mergeCell ref="A9:D9"/>
    <mergeCell ref="A17:D17"/>
    <mergeCell ref="A8:D8"/>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tabSelected="1" workbookViewId="0">
      <pane xSplit="3" ySplit="1" topLeftCell="D3" activePane="bottomRight" state="frozen"/>
      <selection pane="topRight"/>
      <selection pane="bottomLeft"/>
      <selection pane="bottomRight" activeCell="G44" sqref="G44"/>
    </sheetView>
  </sheetViews>
  <sheetFormatPr baseColWidth="10" defaultColWidth="8.7265625" defaultRowHeight="14.5" x14ac:dyDescent="0.35"/>
  <cols>
    <col min="1" max="1" width="13" customWidth="1"/>
    <col min="2" max="2" width="11" customWidth="1"/>
    <col min="3" max="3" width="22" customWidth="1"/>
    <col min="4" max="4" width="38" customWidth="1"/>
    <col min="5" max="5" width="11" customWidth="1"/>
    <col min="6" max="6" width="60" customWidth="1"/>
    <col min="7" max="7" width="22" customWidth="1"/>
    <col min="8" max="8" width="40" customWidth="1"/>
    <col min="9" max="9" width="12" customWidth="1"/>
    <col min="10" max="10" width="46" customWidth="1"/>
  </cols>
  <sheetData>
    <row r="1" spans="1:10" ht="42" customHeight="1" x14ac:dyDescent="0.35">
      <c r="A1" s="10" t="s">
        <v>22</v>
      </c>
      <c r="B1" s="10" t="s">
        <v>23</v>
      </c>
      <c r="C1" s="10" t="s">
        <v>24</v>
      </c>
      <c r="D1" s="10" t="s">
        <v>25</v>
      </c>
      <c r="E1" s="10" t="s">
        <v>26</v>
      </c>
      <c r="F1" s="10" t="s">
        <v>27</v>
      </c>
      <c r="G1" s="11" t="s">
        <v>28</v>
      </c>
      <c r="H1" s="11" t="s">
        <v>29</v>
      </c>
      <c r="I1" s="11" t="s">
        <v>30</v>
      </c>
      <c r="J1" s="11" t="s">
        <v>31</v>
      </c>
    </row>
    <row r="2" spans="1:10" ht="25" x14ac:dyDescent="0.35">
      <c r="A2" s="12" t="s">
        <v>32</v>
      </c>
      <c r="B2" s="13" t="s">
        <v>33</v>
      </c>
      <c r="C2" s="14" t="s">
        <v>34</v>
      </c>
      <c r="D2" s="13" t="s">
        <v>35</v>
      </c>
      <c r="E2" s="15" t="s">
        <v>19</v>
      </c>
      <c r="F2" s="13" t="s">
        <v>36</v>
      </c>
      <c r="G2" s="16" t="s">
        <v>415</v>
      </c>
      <c r="H2" s="16" t="s">
        <v>389</v>
      </c>
      <c r="I2" s="16" t="s">
        <v>18</v>
      </c>
      <c r="J2" s="16" t="s">
        <v>390</v>
      </c>
    </row>
    <row r="3" spans="1:10" ht="25" x14ac:dyDescent="0.35">
      <c r="A3" s="12" t="s">
        <v>37</v>
      </c>
      <c r="B3" s="13" t="s">
        <v>33</v>
      </c>
      <c r="C3" s="14" t="s">
        <v>38</v>
      </c>
      <c r="D3" s="13" t="s">
        <v>39</v>
      </c>
      <c r="E3" s="17" t="s">
        <v>20</v>
      </c>
      <c r="F3" s="13" t="s">
        <v>40</v>
      </c>
      <c r="G3" s="16"/>
      <c r="H3" s="16" t="s">
        <v>388</v>
      </c>
      <c r="I3" s="16"/>
      <c r="J3" s="16"/>
    </row>
    <row r="4" spans="1:10" ht="25" x14ac:dyDescent="0.35">
      <c r="A4" s="12" t="s">
        <v>41</v>
      </c>
      <c r="B4" s="13" t="s">
        <v>33</v>
      </c>
      <c r="C4" s="14" t="s">
        <v>42</v>
      </c>
      <c r="D4" s="13" t="s">
        <v>43</v>
      </c>
      <c r="E4" s="17" t="s">
        <v>20</v>
      </c>
      <c r="F4" s="13" t="s">
        <v>44</v>
      </c>
      <c r="G4" s="16" t="s">
        <v>416</v>
      </c>
      <c r="H4" s="16" t="s">
        <v>391</v>
      </c>
      <c r="I4" s="16"/>
      <c r="J4" s="16"/>
    </row>
    <row r="5" spans="1:10" ht="37.5" x14ac:dyDescent="0.35">
      <c r="A5" s="12" t="s">
        <v>45</v>
      </c>
      <c r="B5" s="13" t="s">
        <v>33</v>
      </c>
      <c r="C5" s="14" t="s">
        <v>46</v>
      </c>
      <c r="D5" s="13" t="s">
        <v>47</v>
      </c>
      <c r="E5" s="15" t="s">
        <v>19</v>
      </c>
      <c r="F5" s="13" t="s">
        <v>48</v>
      </c>
      <c r="G5" s="16" t="s">
        <v>417</v>
      </c>
      <c r="H5" s="16" t="s">
        <v>392</v>
      </c>
      <c r="I5" s="16"/>
      <c r="J5" s="16"/>
    </row>
    <row r="6" spans="1:10" ht="25" x14ac:dyDescent="0.35">
      <c r="A6" s="12" t="s">
        <v>49</v>
      </c>
      <c r="B6" s="13" t="s">
        <v>33</v>
      </c>
      <c r="C6" s="14" t="s">
        <v>50</v>
      </c>
      <c r="D6" s="13" t="s">
        <v>51</v>
      </c>
      <c r="E6" s="15" t="s">
        <v>19</v>
      </c>
      <c r="F6" s="13" t="s">
        <v>52</v>
      </c>
      <c r="G6" s="16" t="s">
        <v>418</v>
      </c>
      <c r="H6" s="16"/>
      <c r="I6" s="16"/>
      <c r="J6" s="16"/>
    </row>
    <row r="7" spans="1:10" ht="25" x14ac:dyDescent="0.35">
      <c r="A7" s="12" t="s">
        <v>53</v>
      </c>
      <c r="B7" s="13" t="s">
        <v>33</v>
      </c>
      <c r="C7" s="14" t="s">
        <v>54</v>
      </c>
      <c r="D7" s="13" t="s">
        <v>55</v>
      </c>
      <c r="E7" s="15" t="s">
        <v>19</v>
      </c>
      <c r="F7" s="13" t="s">
        <v>56</v>
      </c>
      <c r="G7" s="16" t="s">
        <v>419</v>
      </c>
      <c r="H7" s="16"/>
      <c r="I7" s="16"/>
      <c r="J7" s="16"/>
    </row>
    <row r="8" spans="1:10" ht="25" x14ac:dyDescent="0.35">
      <c r="A8" s="12" t="s">
        <v>57</v>
      </c>
      <c r="B8" s="13" t="s">
        <v>33</v>
      </c>
      <c r="C8" s="14" t="s">
        <v>58</v>
      </c>
      <c r="D8" s="13" t="s">
        <v>59</v>
      </c>
      <c r="E8" s="15" t="s">
        <v>19</v>
      </c>
      <c r="F8" s="13" t="s">
        <v>60</v>
      </c>
      <c r="G8" s="16" t="s">
        <v>420</v>
      </c>
      <c r="H8" s="16" t="s">
        <v>393</v>
      </c>
      <c r="I8" s="16" t="s">
        <v>18</v>
      </c>
      <c r="J8" s="16"/>
    </row>
    <row r="9" spans="1:10" ht="25" x14ac:dyDescent="0.35">
      <c r="A9" s="12" t="s">
        <v>61</v>
      </c>
      <c r="B9" s="13" t="s">
        <v>62</v>
      </c>
      <c r="C9" s="14" t="s">
        <v>63</v>
      </c>
      <c r="D9" s="13" t="s">
        <v>64</v>
      </c>
      <c r="E9" s="17" t="s">
        <v>20</v>
      </c>
      <c r="F9" s="13" t="s">
        <v>65</v>
      </c>
      <c r="G9" s="16"/>
      <c r="H9" s="16"/>
      <c r="I9" s="16"/>
      <c r="J9" s="16"/>
    </row>
    <row r="10" spans="1:10" ht="25" x14ac:dyDescent="0.35">
      <c r="A10" s="12" t="s">
        <v>66</v>
      </c>
      <c r="B10" s="13" t="s">
        <v>62</v>
      </c>
      <c r="C10" s="14" t="s">
        <v>67</v>
      </c>
      <c r="D10" s="13" t="s">
        <v>68</v>
      </c>
      <c r="E10" s="17" t="s">
        <v>20</v>
      </c>
      <c r="F10" s="13" t="s">
        <v>69</v>
      </c>
      <c r="G10" s="16" t="s">
        <v>421</v>
      </c>
      <c r="H10" s="16"/>
      <c r="I10" s="16"/>
      <c r="J10" s="16"/>
    </row>
    <row r="11" spans="1:10" ht="50" x14ac:dyDescent="0.35">
      <c r="A11" s="12" t="s">
        <v>70</v>
      </c>
      <c r="B11" s="13" t="s">
        <v>62</v>
      </c>
      <c r="C11" s="14" t="s">
        <v>71</v>
      </c>
      <c r="D11" s="13" t="s">
        <v>72</v>
      </c>
      <c r="E11" s="15" t="s">
        <v>19</v>
      </c>
      <c r="F11" s="13" t="s">
        <v>73</v>
      </c>
      <c r="G11" s="16" t="s">
        <v>387</v>
      </c>
      <c r="H11" s="16" t="s">
        <v>394</v>
      </c>
      <c r="I11" s="16"/>
      <c r="J11" s="16"/>
    </row>
    <row r="12" spans="1:10" ht="37.5" x14ac:dyDescent="0.35">
      <c r="A12" s="12" t="s">
        <v>74</v>
      </c>
      <c r="B12" s="13" t="s">
        <v>62</v>
      </c>
      <c r="C12" s="14" t="s">
        <v>75</v>
      </c>
      <c r="D12" s="13" t="s">
        <v>76</v>
      </c>
      <c r="E12" s="17" t="s">
        <v>20</v>
      </c>
      <c r="F12" s="13" t="s">
        <v>77</v>
      </c>
      <c r="G12" s="16"/>
      <c r="H12" s="16" t="s">
        <v>395</v>
      </c>
      <c r="I12" s="16" t="s">
        <v>19</v>
      </c>
      <c r="J12" s="16"/>
    </row>
    <row r="13" spans="1:10" ht="25" x14ac:dyDescent="0.35">
      <c r="A13" s="12" t="s">
        <v>78</v>
      </c>
      <c r="B13" s="13" t="s">
        <v>62</v>
      </c>
      <c r="C13" s="14" t="s">
        <v>79</v>
      </c>
      <c r="D13" s="13" t="s">
        <v>80</v>
      </c>
      <c r="E13" s="15" t="s">
        <v>19</v>
      </c>
      <c r="F13" s="13" t="s">
        <v>81</v>
      </c>
      <c r="G13" s="16" t="s">
        <v>422</v>
      </c>
      <c r="H13" s="16"/>
      <c r="I13" s="16" t="s">
        <v>18</v>
      </c>
      <c r="J13" s="16"/>
    </row>
    <row r="14" spans="1:10" x14ac:dyDescent="0.35">
      <c r="A14" s="12" t="s">
        <v>82</v>
      </c>
      <c r="B14" s="13" t="s">
        <v>62</v>
      </c>
      <c r="C14" s="14" t="s">
        <v>83</v>
      </c>
      <c r="D14" s="13" t="s">
        <v>84</v>
      </c>
      <c r="E14" s="15" t="s">
        <v>19</v>
      </c>
      <c r="F14" s="13" t="s">
        <v>85</v>
      </c>
      <c r="G14" s="16" t="s">
        <v>423</v>
      </c>
      <c r="H14" s="16"/>
      <c r="I14" s="16" t="s">
        <v>18</v>
      </c>
      <c r="J14" s="16"/>
    </row>
    <row r="15" spans="1:10" ht="25" x14ac:dyDescent="0.35">
      <c r="A15" s="12" t="s">
        <v>86</v>
      </c>
      <c r="B15" s="13" t="s">
        <v>62</v>
      </c>
      <c r="C15" s="14" t="s">
        <v>87</v>
      </c>
      <c r="D15" s="13" t="s">
        <v>88</v>
      </c>
      <c r="E15" s="15" t="s">
        <v>19</v>
      </c>
      <c r="F15" s="13" t="s">
        <v>89</v>
      </c>
      <c r="G15" s="16" t="s">
        <v>424</v>
      </c>
      <c r="H15" s="16" t="s">
        <v>396</v>
      </c>
      <c r="I15" s="16" t="s">
        <v>18</v>
      </c>
      <c r="J15" s="16"/>
    </row>
    <row r="16" spans="1:10" ht="37.5" x14ac:dyDescent="0.35">
      <c r="A16" s="12" t="s">
        <v>90</v>
      </c>
      <c r="B16" s="13" t="s">
        <v>62</v>
      </c>
      <c r="C16" s="14" t="s">
        <v>91</v>
      </c>
      <c r="D16" s="13" t="s">
        <v>92</v>
      </c>
      <c r="E16" s="15" t="s">
        <v>19</v>
      </c>
      <c r="F16" s="13" t="s">
        <v>93</v>
      </c>
      <c r="G16" s="16" t="s">
        <v>425</v>
      </c>
      <c r="H16" s="16"/>
      <c r="I16" s="16"/>
      <c r="J16" s="16"/>
    </row>
    <row r="17" spans="1:10" ht="50" x14ac:dyDescent="0.35">
      <c r="A17" s="12" t="s">
        <v>94</v>
      </c>
      <c r="B17" s="13" t="s">
        <v>62</v>
      </c>
      <c r="C17" s="14" t="s">
        <v>95</v>
      </c>
      <c r="D17" s="13" t="s">
        <v>96</v>
      </c>
      <c r="E17" s="17" t="s">
        <v>20</v>
      </c>
      <c r="F17" s="13" t="s">
        <v>97</v>
      </c>
      <c r="G17" s="16" t="s">
        <v>426</v>
      </c>
      <c r="H17" s="16"/>
      <c r="I17" s="16"/>
      <c r="J17" s="16"/>
    </row>
    <row r="18" spans="1:10" x14ac:dyDescent="0.35">
      <c r="A18" s="12" t="s">
        <v>98</v>
      </c>
      <c r="B18" s="13" t="s">
        <v>99</v>
      </c>
      <c r="C18" s="14" t="s">
        <v>100</v>
      </c>
      <c r="D18" s="13" t="s">
        <v>101</v>
      </c>
      <c r="E18" s="15" t="s">
        <v>19</v>
      </c>
      <c r="F18" s="13" t="s">
        <v>102</v>
      </c>
      <c r="G18" s="16"/>
      <c r="H18" s="16" t="s">
        <v>397</v>
      </c>
      <c r="I18" s="16" t="s">
        <v>18</v>
      </c>
      <c r="J18" s="16"/>
    </row>
    <row r="19" spans="1:10" ht="25" x14ac:dyDescent="0.35">
      <c r="A19" s="12" t="s">
        <v>103</v>
      </c>
      <c r="B19" s="13" t="s">
        <v>99</v>
      </c>
      <c r="C19" s="14" t="s">
        <v>104</v>
      </c>
      <c r="D19" s="13" t="s">
        <v>105</v>
      </c>
      <c r="E19" s="15" t="s">
        <v>19</v>
      </c>
      <c r="F19" s="13" t="s">
        <v>106</v>
      </c>
      <c r="G19" s="16" t="s">
        <v>427</v>
      </c>
      <c r="H19" s="16" t="s">
        <v>398</v>
      </c>
      <c r="I19" s="16" t="s">
        <v>18</v>
      </c>
      <c r="J19" s="16"/>
    </row>
    <row r="20" spans="1:10" ht="25" x14ac:dyDescent="0.35">
      <c r="A20" s="12" t="s">
        <v>107</v>
      </c>
      <c r="B20" s="13" t="s">
        <v>99</v>
      </c>
      <c r="C20" s="14" t="s">
        <v>108</v>
      </c>
      <c r="D20" s="13" t="s">
        <v>109</v>
      </c>
      <c r="E20" s="15" t="s">
        <v>19</v>
      </c>
      <c r="F20" s="13" t="s">
        <v>110</v>
      </c>
      <c r="G20" s="16"/>
      <c r="H20" s="16" t="s">
        <v>399</v>
      </c>
      <c r="I20" s="16" t="s">
        <v>19</v>
      </c>
      <c r="J20" s="16"/>
    </row>
    <row r="21" spans="1:10" ht="25" x14ac:dyDescent="0.35">
      <c r="A21" s="12" t="s">
        <v>111</v>
      </c>
      <c r="B21" s="13" t="s">
        <v>99</v>
      </c>
      <c r="C21" s="14" t="s">
        <v>112</v>
      </c>
      <c r="D21" s="13" t="s">
        <v>113</v>
      </c>
      <c r="E21" s="15" t="s">
        <v>19</v>
      </c>
      <c r="F21" s="13" t="s">
        <v>114</v>
      </c>
      <c r="G21" s="16"/>
      <c r="H21" s="16"/>
      <c r="I21" s="16"/>
      <c r="J21" s="16"/>
    </row>
    <row r="22" spans="1:10" ht="25" x14ac:dyDescent="0.35">
      <c r="A22" s="12" t="s">
        <v>115</v>
      </c>
      <c r="B22" s="13" t="s">
        <v>99</v>
      </c>
      <c r="C22" s="14" t="s">
        <v>116</v>
      </c>
      <c r="D22" s="13" t="s">
        <v>117</v>
      </c>
      <c r="E22" s="17" t="s">
        <v>20</v>
      </c>
      <c r="F22" s="13" t="s">
        <v>118</v>
      </c>
      <c r="G22" s="16" t="s">
        <v>400</v>
      </c>
      <c r="H22" s="16"/>
      <c r="I22" s="16"/>
      <c r="J22" s="16"/>
    </row>
    <row r="23" spans="1:10" ht="25" x14ac:dyDescent="0.35">
      <c r="A23" s="12" t="s">
        <v>119</v>
      </c>
      <c r="B23" s="13" t="s">
        <v>99</v>
      </c>
      <c r="C23" s="14" t="s">
        <v>120</v>
      </c>
      <c r="D23" s="13" t="s">
        <v>121</v>
      </c>
      <c r="E23" s="15" t="s">
        <v>19</v>
      </c>
      <c r="F23" s="13" t="s">
        <v>122</v>
      </c>
      <c r="G23" s="16" t="s">
        <v>402</v>
      </c>
      <c r="H23" s="16" t="s">
        <v>401</v>
      </c>
      <c r="I23" s="16"/>
      <c r="J23" s="16"/>
    </row>
    <row r="24" spans="1:10" ht="37.5" x14ac:dyDescent="0.35">
      <c r="A24" s="12" t="s">
        <v>123</v>
      </c>
      <c r="B24" s="13" t="s">
        <v>99</v>
      </c>
      <c r="C24" s="14" t="s">
        <v>124</v>
      </c>
      <c r="D24" s="13" t="s">
        <v>125</v>
      </c>
      <c r="E24" s="17" t="s">
        <v>20</v>
      </c>
      <c r="F24" s="13" t="s">
        <v>126</v>
      </c>
      <c r="G24" s="16" t="s">
        <v>428</v>
      </c>
      <c r="H24" s="16"/>
      <c r="I24" s="16"/>
      <c r="J24" s="16"/>
    </row>
    <row r="25" spans="1:10" ht="37.5" x14ac:dyDescent="0.35">
      <c r="A25" s="12" t="s">
        <v>127</v>
      </c>
      <c r="B25" s="13" t="s">
        <v>99</v>
      </c>
      <c r="C25" s="14" t="s">
        <v>128</v>
      </c>
      <c r="D25" s="13" t="s">
        <v>129</v>
      </c>
      <c r="E25" s="15" t="s">
        <v>19</v>
      </c>
      <c r="F25" s="13" t="s">
        <v>130</v>
      </c>
      <c r="G25" s="16" t="s">
        <v>403</v>
      </c>
      <c r="H25" s="16"/>
      <c r="I25" s="16" t="s">
        <v>20</v>
      </c>
      <c r="J25" s="16"/>
    </row>
    <row r="26" spans="1:10" ht="25" x14ac:dyDescent="0.35">
      <c r="A26" s="12" t="s">
        <v>131</v>
      </c>
      <c r="B26" s="13" t="s">
        <v>99</v>
      </c>
      <c r="C26" s="14" t="s">
        <v>132</v>
      </c>
      <c r="D26" s="13" t="s">
        <v>133</v>
      </c>
      <c r="E26" s="15" t="s">
        <v>19</v>
      </c>
      <c r="F26" s="13" t="s">
        <v>134</v>
      </c>
      <c r="G26" s="16" t="s">
        <v>429</v>
      </c>
      <c r="H26" s="16"/>
      <c r="I26" s="16"/>
      <c r="J26" s="16"/>
    </row>
    <row r="27" spans="1:10" x14ac:dyDescent="0.35">
      <c r="A27" s="12" t="s">
        <v>135</v>
      </c>
      <c r="B27" s="13" t="s">
        <v>136</v>
      </c>
      <c r="C27" s="14" t="s">
        <v>137</v>
      </c>
      <c r="D27" s="13" t="s">
        <v>138</v>
      </c>
      <c r="E27" s="18" t="s">
        <v>18</v>
      </c>
      <c r="F27" s="13" t="s">
        <v>139</v>
      </c>
      <c r="G27" s="16"/>
      <c r="H27" s="16" t="s">
        <v>404</v>
      </c>
      <c r="I27" s="16"/>
      <c r="J27" s="16"/>
    </row>
    <row r="28" spans="1:10" ht="25" x14ac:dyDescent="0.35">
      <c r="A28" s="12" t="s">
        <v>140</v>
      </c>
      <c r="B28" s="13" t="s">
        <v>136</v>
      </c>
      <c r="C28" s="14" t="s">
        <v>141</v>
      </c>
      <c r="D28" s="13" t="s">
        <v>142</v>
      </c>
      <c r="E28" s="15" t="s">
        <v>19</v>
      </c>
      <c r="F28" s="13" t="s">
        <v>143</v>
      </c>
      <c r="G28" s="16"/>
      <c r="H28" s="16" t="s">
        <v>405</v>
      </c>
      <c r="I28" s="16"/>
      <c r="J28" s="16"/>
    </row>
    <row r="29" spans="1:10" ht="25" x14ac:dyDescent="0.35">
      <c r="A29" s="12" t="s">
        <v>144</v>
      </c>
      <c r="B29" s="13" t="s">
        <v>136</v>
      </c>
      <c r="C29" s="14" t="s">
        <v>145</v>
      </c>
      <c r="D29" s="13" t="s">
        <v>146</v>
      </c>
      <c r="E29" s="17" t="s">
        <v>20</v>
      </c>
      <c r="F29" s="13" t="s">
        <v>147</v>
      </c>
      <c r="G29" s="16"/>
      <c r="H29" s="16" t="s">
        <v>406</v>
      </c>
      <c r="I29" s="16"/>
      <c r="J29" s="16"/>
    </row>
    <row r="30" spans="1:10" ht="25" x14ac:dyDescent="0.35">
      <c r="A30" s="12" t="s">
        <v>148</v>
      </c>
      <c r="B30" s="13" t="s">
        <v>136</v>
      </c>
      <c r="C30" s="14" t="s">
        <v>149</v>
      </c>
      <c r="D30" s="13" t="s">
        <v>150</v>
      </c>
      <c r="E30" s="15" t="s">
        <v>19</v>
      </c>
      <c r="F30" s="13" t="s">
        <v>151</v>
      </c>
      <c r="G30" s="16" t="s">
        <v>407</v>
      </c>
      <c r="H30" s="16"/>
      <c r="I30" s="16"/>
      <c r="J30" s="16"/>
    </row>
    <row r="31" spans="1:10" ht="37.5" x14ac:dyDescent="0.35">
      <c r="A31" s="12" t="s">
        <v>152</v>
      </c>
      <c r="B31" s="13" t="s">
        <v>136</v>
      </c>
      <c r="C31" s="14" t="s">
        <v>153</v>
      </c>
      <c r="D31" s="13" t="s">
        <v>154</v>
      </c>
      <c r="E31" s="15" t="s">
        <v>19</v>
      </c>
      <c r="F31" s="13" t="s">
        <v>155</v>
      </c>
      <c r="G31" s="16" t="s">
        <v>408</v>
      </c>
      <c r="H31" s="16" t="s">
        <v>409</v>
      </c>
      <c r="I31" s="16" t="s">
        <v>18</v>
      </c>
      <c r="J31" s="16"/>
    </row>
    <row r="32" spans="1:10" ht="25" x14ac:dyDescent="0.35">
      <c r="A32" s="12" t="s">
        <v>156</v>
      </c>
      <c r="B32" s="13" t="s">
        <v>136</v>
      </c>
      <c r="C32" s="14" t="s">
        <v>157</v>
      </c>
      <c r="D32" s="13" t="s">
        <v>158</v>
      </c>
      <c r="E32" s="15" t="s">
        <v>19</v>
      </c>
      <c r="F32" s="13" t="s">
        <v>159</v>
      </c>
      <c r="G32" s="16" t="s">
        <v>410</v>
      </c>
      <c r="H32" s="16"/>
      <c r="I32" s="16" t="s">
        <v>18</v>
      </c>
      <c r="J32" s="16"/>
    </row>
    <row r="33" spans="1:10" ht="50" x14ac:dyDescent="0.35">
      <c r="A33" s="12" t="s">
        <v>160</v>
      </c>
      <c r="B33" s="13" t="s">
        <v>136</v>
      </c>
      <c r="C33" s="14" t="s">
        <v>161</v>
      </c>
      <c r="D33" s="13" t="s">
        <v>162</v>
      </c>
      <c r="E33" s="15" t="s">
        <v>19</v>
      </c>
      <c r="F33" s="13" t="s">
        <v>163</v>
      </c>
      <c r="G33" s="16" t="s">
        <v>411</v>
      </c>
      <c r="H33" s="16"/>
      <c r="I33" s="16"/>
      <c r="J33" s="16"/>
    </row>
    <row r="34" spans="1:10" ht="37.5" x14ac:dyDescent="0.35">
      <c r="A34" s="12" t="s">
        <v>164</v>
      </c>
      <c r="B34" s="13" t="s">
        <v>136</v>
      </c>
      <c r="C34" s="14" t="s">
        <v>165</v>
      </c>
      <c r="D34" s="13" t="s">
        <v>166</v>
      </c>
      <c r="E34" s="15" t="s">
        <v>19</v>
      </c>
      <c r="F34" s="13" t="s">
        <v>167</v>
      </c>
      <c r="G34" s="16" t="s">
        <v>412</v>
      </c>
      <c r="H34" s="16"/>
      <c r="I34" s="16" t="s">
        <v>20</v>
      </c>
      <c r="J34" s="16"/>
    </row>
    <row r="35" spans="1:10" ht="37.5" x14ac:dyDescent="0.35">
      <c r="A35" s="12" t="s">
        <v>168</v>
      </c>
      <c r="B35" s="13" t="s">
        <v>136</v>
      </c>
      <c r="C35" s="14" t="s">
        <v>169</v>
      </c>
      <c r="D35" s="13" t="s">
        <v>170</v>
      </c>
      <c r="E35" s="17" t="s">
        <v>20</v>
      </c>
      <c r="F35" s="13" t="s">
        <v>171</v>
      </c>
      <c r="G35" s="16" t="s">
        <v>430</v>
      </c>
      <c r="H35" s="16" t="s">
        <v>170</v>
      </c>
      <c r="I35" s="16" t="s">
        <v>19</v>
      </c>
      <c r="J35" s="16"/>
    </row>
    <row r="36" spans="1:10" x14ac:dyDescent="0.35">
      <c r="A36" s="12" t="s">
        <v>172</v>
      </c>
      <c r="B36" s="13" t="s">
        <v>173</v>
      </c>
      <c r="C36" s="14" t="s">
        <v>174</v>
      </c>
      <c r="D36" s="13" t="s">
        <v>175</v>
      </c>
      <c r="E36" s="15" t="s">
        <v>19</v>
      </c>
      <c r="F36" s="13" t="s">
        <v>176</v>
      </c>
      <c r="G36" s="16"/>
      <c r="H36" s="16"/>
      <c r="I36" s="16"/>
      <c r="J36" s="16"/>
    </row>
    <row r="37" spans="1:10" ht="25" x14ac:dyDescent="0.35">
      <c r="A37" s="12" t="s">
        <v>177</v>
      </c>
      <c r="B37" s="13" t="s">
        <v>173</v>
      </c>
      <c r="C37" s="14" t="s">
        <v>178</v>
      </c>
      <c r="D37" s="13" t="s">
        <v>179</v>
      </c>
      <c r="E37" s="17" t="s">
        <v>20</v>
      </c>
      <c r="F37" s="13" t="s">
        <v>180</v>
      </c>
      <c r="G37" s="16" t="s">
        <v>431</v>
      </c>
      <c r="H37" s="16"/>
      <c r="I37" s="16" t="s">
        <v>18</v>
      </c>
      <c r="J37" s="16"/>
    </row>
    <row r="38" spans="1:10" ht="25" x14ac:dyDescent="0.35">
      <c r="A38" s="12" t="s">
        <v>181</v>
      </c>
      <c r="B38" s="13" t="s">
        <v>173</v>
      </c>
      <c r="C38" s="14" t="s">
        <v>182</v>
      </c>
      <c r="D38" s="13" t="s">
        <v>183</v>
      </c>
      <c r="E38" s="15" t="s">
        <v>19</v>
      </c>
      <c r="F38" s="13" t="s">
        <v>184</v>
      </c>
      <c r="G38" s="16" t="s">
        <v>432</v>
      </c>
      <c r="H38" s="16"/>
      <c r="I38" s="16"/>
      <c r="J38" s="16"/>
    </row>
    <row r="39" spans="1:10" x14ac:dyDescent="0.35">
      <c r="A39" s="12" t="s">
        <v>185</v>
      </c>
      <c r="B39" s="13" t="s">
        <v>173</v>
      </c>
      <c r="C39" s="14" t="s">
        <v>186</v>
      </c>
      <c r="D39" s="13" t="s">
        <v>187</v>
      </c>
      <c r="E39" s="17" t="s">
        <v>20</v>
      </c>
      <c r="F39" s="13" t="s">
        <v>188</v>
      </c>
      <c r="G39" s="16" t="s">
        <v>413</v>
      </c>
      <c r="H39" s="16"/>
      <c r="I39" s="16"/>
      <c r="J39" s="16"/>
    </row>
    <row r="40" spans="1:10" ht="37.5" x14ac:dyDescent="0.35">
      <c r="A40" s="12" t="s">
        <v>189</v>
      </c>
      <c r="B40" s="13" t="s">
        <v>173</v>
      </c>
      <c r="C40" s="14" t="s">
        <v>190</v>
      </c>
      <c r="D40" s="13" t="s">
        <v>191</v>
      </c>
      <c r="E40" s="15" t="s">
        <v>19</v>
      </c>
      <c r="F40" s="13" t="s">
        <v>192</v>
      </c>
      <c r="G40" s="16" t="s">
        <v>433</v>
      </c>
      <c r="H40" s="16" t="s">
        <v>414</v>
      </c>
      <c r="I40" s="16"/>
      <c r="J40" s="16"/>
    </row>
    <row r="41" spans="1:10" ht="25" x14ac:dyDescent="0.35">
      <c r="A41" s="12" t="s">
        <v>193</v>
      </c>
      <c r="B41" s="13" t="s">
        <v>173</v>
      </c>
      <c r="C41" s="14" t="s">
        <v>194</v>
      </c>
      <c r="D41" s="13" t="s">
        <v>195</v>
      </c>
      <c r="E41" s="15" t="s">
        <v>19</v>
      </c>
      <c r="F41" s="13" t="s">
        <v>196</v>
      </c>
      <c r="G41" s="16" t="s">
        <v>437</v>
      </c>
      <c r="H41" s="16"/>
      <c r="I41" s="16" t="s">
        <v>18</v>
      </c>
      <c r="J41" s="16"/>
    </row>
    <row r="42" spans="1:10" ht="37.5" x14ac:dyDescent="0.35">
      <c r="A42" s="12" t="s">
        <v>197</v>
      </c>
      <c r="B42" s="13" t="s">
        <v>173</v>
      </c>
      <c r="C42" s="14" t="s">
        <v>198</v>
      </c>
      <c r="D42" s="13" t="s">
        <v>199</v>
      </c>
      <c r="E42" s="17" t="s">
        <v>20</v>
      </c>
      <c r="F42" s="13" t="s">
        <v>200</v>
      </c>
      <c r="G42" s="16" t="s">
        <v>434</v>
      </c>
      <c r="H42" s="16"/>
      <c r="I42" s="16"/>
      <c r="J42" s="16"/>
    </row>
    <row r="43" spans="1:10" ht="25" x14ac:dyDescent="0.35">
      <c r="A43" s="12" t="s">
        <v>201</v>
      </c>
      <c r="B43" s="13" t="s">
        <v>173</v>
      </c>
      <c r="C43" s="14" t="s">
        <v>202</v>
      </c>
      <c r="D43" s="13" t="s">
        <v>203</v>
      </c>
      <c r="E43" s="17" t="s">
        <v>20</v>
      </c>
      <c r="F43" s="13" t="s">
        <v>204</v>
      </c>
      <c r="G43" s="16" t="s">
        <v>435</v>
      </c>
      <c r="H43" s="16"/>
      <c r="I43" s="16" t="s">
        <v>19</v>
      </c>
      <c r="J43" s="16"/>
    </row>
    <row r="44" spans="1:10" ht="25" x14ac:dyDescent="0.35">
      <c r="A44" s="12" t="s">
        <v>205</v>
      </c>
      <c r="B44" s="13" t="s">
        <v>173</v>
      </c>
      <c r="C44" s="14" t="s">
        <v>206</v>
      </c>
      <c r="D44" s="13" t="s">
        <v>207</v>
      </c>
      <c r="E44" s="15" t="s">
        <v>19</v>
      </c>
      <c r="F44" s="13" t="s">
        <v>208</v>
      </c>
      <c r="G44" s="16" t="s">
        <v>436</v>
      </c>
      <c r="H44" s="16"/>
      <c r="I44" s="16" t="s">
        <v>18</v>
      </c>
      <c r="J44" s="16"/>
    </row>
  </sheetData>
  <dataValidations count="1">
    <dataValidation type="list" allowBlank="1" showErrorMessage="1" errorTitle="Rareté" error="Commune, Rare ou Légendaire" sqref="I2:I44" xr:uid="{00000000-0002-0000-0100-000000000000}">
      <formula1>"Commune,Rare,Légendaire"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
  <sheetViews>
    <sheetView zoomScaleNormal="100" workbookViewId="0">
      <pane xSplit="3" ySplit="1" topLeftCell="D2" activePane="bottomRight" state="frozen"/>
      <selection pane="topRight"/>
      <selection pane="bottomLeft"/>
      <selection pane="bottomRight" activeCell="G33" sqref="G33"/>
    </sheetView>
  </sheetViews>
  <sheetFormatPr baseColWidth="10" defaultColWidth="8.7265625" defaultRowHeight="14.5" x14ac:dyDescent="0.35"/>
  <cols>
    <col min="1" max="1" width="15" customWidth="1"/>
    <col min="2" max="2" width="30" customWidth="1"/>
    <col min="3" max="3" width="18" customWidth="1"/>
    <col min="4" max="4" width="40" customWidth="1"/>
    <col min="5" max="5" width="13" customWidth="1"/>
    <col min="6" max="6" width="58" customWidth="1"/>
    <col min="7" max="7" width="20" customWidth="1"/>
    <col min="8" max="8" width="40" customWidth="1"/>
    <col min="9" max="9" width="12" customWidth="1"/>
    <col min="10" max="10" width="42" customWidth="1"/>
  </cols>
  <sheetData>
    <row r="1" spans="1:10" ht="42" customHeight="1" x14ac:dyDescent="0.35">
      <c r="A1" s="10" t="s">
        <v>22</v>
      </c>
      <c r="B1" s="10" t="s">
        <v>209</v>
      </c>
      <c r="C1" s="10" t="s">
        <v>24</v>
      </c>
      <c r="D1" s="10" t="s">
        <v>210</v>
      </c>
      <c r="E1" s="10" t="s">
        <v>26</v>
      </c>
      <c r="F1" s="10" t="s">
        <v>211</v>
      </c>
      <c r="G1" s="11" t="s">
        <v>28</v>
      </c>
      <c r="H1" s="11" t="s">
        <v>212</v>
      </c>
      <c r="I1" s="11" t="s">
        <v>213</v>
      </c>
      <c r="J1" s="11" t="s">
        <v>214</v>
      </c>
    </row>
    <row r="2" spans="1:10" ht="37.5" x14ac:dyDescent="0.35">
      <c r="A2" s="12" t="s">
        <v>215</v>
      </c>
      <c r="B2" s="13" t="s">
        <v>216</v>
      </c>
      <c r="C2" s="14" t="s">
        <v>217</v>
      </c>
      <c r="D2" s="13" t="s">
        <v>218</v>
      </c>
      <c r="E2" s="13" t="s">
        <v>219</v>
      </c>
      <c r="F2" s="13" t="s">
        <v>220</v>
      </c>
      <c r="G2" s="16"/>
      <c r="H2" s="16"/>
      <c r="I2" s="16"/>
      <c r="J2" s="16"/>
    </row>
    <row r="3" spans="1:10" ht="25" x14ac:dyDescent="0.35">
      <c r="A3" s="12" t="s">
        <v>221</v>
      </c>
      <c r="B3" s="13" t="s">
        <v>222</v>
      </c>
      <c r="C3" s="14" t="s">
        <v>223</v>
      </c>
      <c r="D3" s="13" t="s">
        <v>224</v>
      </c>
      <c r="E3" s="13" t="s">
        <v>219</v>
      </c>
      <c r="F3" s="13" t="s">
        <v>225</v>
      </c>
      <c r="G3" s="16" t="s">
        <v>438</v>
      </c>
      <c r="H3" s="16"/>
      <c r="I3" s="16"/>
      <c r="J3" s="16"/>
    </row>
    <row r="4" spans="1:10" ht="25" x14ac:dyDescent="0.35">
      <c r="A4" s="12" t="s">
        <v>226</v>
      </c>
      <c r="B4" s="13" t="s">
        <v>227</v>
      </c>
      <c r="C4" s="14" t="s">
        <v>228</v>
      </c>
      <c r="D4" s="13" t="s">
        <v>229</v>
      </c>
      <c r="E4" s="13" t="s">
        <v>219</v>
      </c>
      <c r="F4" s="13" t="s">
        <v>230</v>
      </c>
      <c r="G4" s="16" t="s">
        <v>439</v>
      </c>
      <c r="H4" s="16"/>
      <c r="I4" s="16"/>
      <c r="J4" s="16"/>
    </row>
    <row r="5" spans="1:10" ht="25" x14ac:dyDescent="0.35">
      <c r="A5" s="12" t="s">
        <v>231</v>
      </c>
      <c r="B5" s="13" t="s">
        <v>232</v>
      </c>
      <c r="C5" s="14" t="s">
        <v>233</v>
      </c>
      <c r="D5" s="13" t="s">
        <v>234</v>
      </c>
      <c r="E5" s="13" t="s">
        <v>219</v>
      </c>
      <c r="F5" s="13" t="s">
        <v>235</v>
      </c>
      <c r="G5" s="16" t="s">
        <v>440</v>
      </c>
      <c r="H5" s="16"/>
      <c r="I5" s="16"/>
      <c r="J5" s="16"/>
    </row>
    <row r="6" spans="1:10" ht="25" x14ac:dyDescent="0.35">
      <c r="A6" s="12" t="s">
        <v>236</v>
      </c>
      <c r="B6" s="13" t="s">
        <v>237</v>
      </c>
      <c r="C6" s="14" t="s">
        <v>236</v>
      </c>
      <c r="D6" s="13" t="s">
        <v>238</v>
      </c>
      <c r="E6" s="13" t="s">
        <v>219</v>
      </c>
      <c r="F6" s="13" t="s">
        <v>239</v>
      </c>
      <c r="G6" s="16"/>
      <c r="H6" s="16"/>
      <c r="I6" s="16"/>
      <c r="J6" s="16"/>
    </row>
    <row r="7" spans="1:10" ht="25" x14ac:dyDescent="0.35">
      <c r="A7" s="12" t="s">
        <v>240</v>
      </c>
      <c r="B7" s="13" t="s">
        <v>241</v>
      </c>
      <c r="C7" s="14" t="s">
        <v>242</v>
      </c>
      <c r="D7" s="13" t="s">
        <v>243</v>
      </c>
      <c r="E7" s="13" t="s">
        <v>219</v>
      </c>
      <c r="F7" s="13" t="s">
        <v>244</v>
      </c>
      <c r="G7" s="16"/>
      <c r="H7" s="16"/>
      <c r="I7" s="16"/>
      <c r="J7" s="16"/>
    </row>
    <row r="8" spans="1:10" ht="25" x14ac:dyDescent="0.35">
      <c r="A8" s="12" t="s">
        <v>245</v>
      </c>
      <c r="B8" s="13" t="s">
        <v>246</v>
      </c>
      <c r="C8" s="14" t="s">
        <v>247</v>
      </c>
      <c r="D8" s="13" t="s">
        <v>248</v>
      </c>
      <c r="E8" s="13" t="s">
        <v>219</v>
      </c>
      <c r="F8" s="13" t="s">
        <v>249</v>
      </c>
      <c r="G8" s="16"/>
      <c r="H8" s="16"/>
      <c r="I8" s="16"/>
      <c r="J8" s="16"/>
    </row>
    <row r="9" spans="1:10" ht="25" x14ac:dyDescent="0.35">
      <c r="A9" s="12" t="s">
        <v>250</v>
      </c>
      <c r="B9" s="13" t="s">
        <v>251</v>
      </c>
      <c r="C9" s="14" t="s">
        <v>252</v>
      </c>
      <c r="D9" s="13" t="s">
        <v>253</v>
      </c>
      <c r="E9" s="13" t="s">
        <v>219</v>
      </c>
      <c r="F9" s="13" t="s">
        <v>254</v>
      </c>
      <c r="G9" s="16"/>
      <c r="H9" s="16" t="s">
        <v>441</v>
      </c>
      <c r="I9" s="16"/>
      <c r="J9" s="16"/>
    </row>
    <row r="10" spans="1:10" ht="25" x14ac:dyDescent="0.35">
      <c r="A10" s="12" t="s">
        <v>255</v>
      </c>
      <c r="B10" s="13" t="s">
        <v>256</v>
      </c>
      <c r="C10" s="14" t="s">
        <v>255</v>
      </c>
      <c r="D10" s="13" t="s">
        <v>257</v>
      </c>
      <c r="E10" s="13" t="s">
        <v>219</v>
      </c>
      <c r="F10" s="13" t="s">
        <v>258</v>
      </c>
      <c r="G10" s="16"/>
      <c r="H10" s="16"/>
      <c r="I10" s="16"/>
      <c r="J10" s="16"/>
    </row>
    <row r="11" spans="1:10" ht="25" x14ac:dyDescent="0.35">
      <c r="A11" s="12" t="s">
        <v>259</v>
      </c>
      <c r="B11" s="13" t="s">
        <v>260</v>
      </c>
      <c r="C11" s="14" t="s">
        <v>261</v>
      </c>
      <c r="D11" s="13" t="s">
        <v>262</v>
      </c>
      <c r="E11" s="13" t="s">
        <v>219</v>
      </c>
      <c r="F11" s="13" t="s">
        <v>263</v>
      </c>
      <c r="G11" s="16" t="s">
        <v>442</v>
      </c>
      <c r="H11" s="16"/>
      <c r="I11" s="16"/>
      <c r="J11" s="16"/>
    </row>
    <row r="12" spans="1:10" ht="25" x14ac:dyDescent="0.35">
      <c r="A12" s="12" t="s">
        <v>264</v>
      </c>
      <c r="B12" s="13" t="s">
        <v>265</v>
      </c>
      <c r="C12" s="14" t="s">
        <v>266</v>
      </c>
      <c r="D12" s="13" t="s">
        <v>267</v>
      </c>
      <c r="E12" s="13" t="s">
        <v>219</v>
      </c>
      <c r="F12" s="13" t="s">
        <v>268</v>
      </c>
      <c r="G12" s="16"/>
      <c r="H12" s="16"/>
      <c r="I12" s="16"/>
      <c r="J12" s="16"/>
    </row>
    <row r="13" spans="1:10" ht="25" x14ac:dyDescent="0.35">
      <c r="A13" s="12" t="s">
        <v>269</v>
      </c>
      <c r="B13" s="13" t="s">
        <v>270</v>
      </c>
      <c r="C13" s="14" t="s">
        <v>271</v>
      </c>
      <c r="D13" s="13" t="s">
        <v>272</v>
      </c>
      <c r="E13" s="13" t="s">
        <v>219</v>
      </c>
      <c r="F13" s="13" t="s">
        <v>273</v>
      </c>
      <c r="G13" s="16" t="s">
        <v>443</v>
      </c>
      <c r="H13" s="16" t="s">
        <v>444</v>
      </c>
      <c r="I13" s="16"/>
      <c r="J13" s="16"/>
    </row>
    <row r="14" spans="1:10" ht="25" x14ac:dyDescent="0.35">
      <c r="A14" s="12" t="s">
        <v>274</v>
      </c>
      <c r="B14" s="13" t="s">
        <v>275</v>
      </c>
      <c r="C14" s="14" t="s">
        <v>276</v>
      </c>
      <c r="D14" s="13" t="s">
        <v>277</v>
      </c>
      <c r="E14" s="13" t="s">
        <v>219</v>
      </c>
      <c r="F14" s="13" t="s">
        <v>278</v>
      </c>
      <c r="G14" s="16" t="s">
        <v>445</v>
      </c>
      <c r="H14" s="16"/>
      <c r="I14" s="16"/>
      <c r="J14" s="16"/>
    </row>
    <row r="15" spans="1:10" ht="25" x14ac:dyDescent="0.35">
      <c r="A15" s="12" t="s">
        <v>279</v>
      </c>
      <c r="B15" s="13" t="s">
        <v>280</v>
      </c>
      <c r="C15" s="14" t="s">
        <v>281</v>
      </c>
      <c r="D15" s="13" t="s">
        <v>282</v>
      </c>
      <c r="E15" s="13" t="s">
        <v>219</v>
      </c>
      <c r="F15" s="13" t="s">
        <v>283</v>
      </c>
      <c r="G15" s="16"/>
      <c r="H15" s="16"/>
      <c r="I15" s="16"/>
      <c r="J15" s="16"/>
    </row>
    <row r="16" spans="1:10" ht="37.5" x14ac:dyDescent="0.35">
      <c r="A16" s="12" t="s">
        <v>284</v>
      </c>
      <c r="B16" s="13" t="s">
        <v>285</v>
      </c>
      <c r="C16" s="14" t="s">
        <v>286</v>
      </c>
      <c r="D16" s="13" t="s">
        <v>287</v>
      </c>
      <c r="E16" s="13" t="s">
        <v>219</v>
      </c>
      <c r="F16" s="13" t="s">
        <v>288</v>
      </c>
      <c r="G16" s="16" t="s">
        <v>446</v>
      </c>
      <c r="H16" s="16"/>
      <c r="I16" s="16"/>
      <c r="J16" s="16"/>
    </row>
    <row r="17" spans="1:10" ht="37.5" x14ac:dyDescent="0.35">
      <c r="A17" s="12" t="s">
        <v>289</v>
      </c>
      <c r="B17" s="13" t="s">
        <v>290</v>
      </c>
      <c r="C17" s="14" t="s">
        <v>289</v>
      </c>
      <c r="D17" s="13" t="s">
        <v>291</v>
      </c>
      <c r="E17" s="13" t="s">
        <v>219</v>
      </c>
      <c r="F17" s="13" t="s">
        <v>292</v>
      </c>
      <c r="G17" s="16" t="s">
        <v>447</v>
      </c>
      <c r="H17" s="16"/>
      <c r="I17" s="16"/>
      <c r="J17" s="16"/>
    </row>
    <row r="18" spans="1:10" ht="25" x14ac:dyDescent="0.35">
      <c r="A18" s="12" t="s">
        <v>293</v>
      </c>
      <c r="B18" s="13" t="s">
        <v>294</v>
      </c>
      <c r="C18" s="14" t="s">
        <v>293</v>
      </c>
      <c r="D18" s="13" t="s">
        <v>295</v>
      </c>
      <c r="E18" s="13" t="s">
        <v>219</v>
      </c>
      <c r="F18" s="13" t="s">
        <v>296</v>
      </c>
      <c r="G18" s="16"/>
      <c r="H18" s="16"/>
      <c r="I18" s="16"/>
      <c r="J18" s="16"/>
    </row>
    <row r="19" spans="1:10" ht="25" x14ac:dyDescent="0.35">
      <c r="A19" s="12" t="s">
        <v>297</v>
      </c>
      <c r="B19" s="13" t="s">
        <v>298</v>
      </c>
      <c r="C19" s="14" t="s">
        <v>299</v>
      </c>
      <c r="D19" s="13" t="s">
        <v>300</v>
      </c>
      <c r="E19" s="13" t="s">
        <v>219</v>
      </c>
      <c r="F19" s="13" t="s">
        <v>301</v>
      </c>
      <c r="G19" s="16"/>
      <c r="H19" s="16"/>
      <c r="I19" s="16"/>
      <c r="J19" s="16"/>
    </row>
    <row r="20" spans="1:10" ht="25" x14ac:dyDescent="0.35">
      <c r="A20" s="12" t="s">
        <v>302</v>
      </c>
      <c r="B20" s="13" t="s">
        <v>303</v>
      </c>
      <c r="C20" s="14" t="s">
        <v>304</v>
      </c>
      <c r="D20" s="13" t="s">
        <v>305</v>
      </c>
      <c r="E20" s="13" t="s">
        <v>219</v>
      </c>
      <c r="F20" s="13" t="s">
        <v>306</v>
      </c>
      <c r="G20" s="16"/>
      <c r="H20" s="16"/>
      <c r="I20" s="16"/>
      <c r="J20" s="16"/>
    </row>
    <row r="21" spans="1:10" ht="25" x14ac:dyDescent="0.35">
      <c r="A21" s="12" t="s">
        <v>307</v>
      </c>
      <c r="B21" s="13" t="s">
        <v>308</v>
      </c>
      <c r="C21" s="14" t="s">
        <v>309</v>
      </c>
      <c r="D21" s="13" t="s">
        <v>310</v>
      </c>
      <c r="E21" s="13" t="s">
        <v>219</v>
      </c>
      <c r="F21" s="13" t="s">
        <v>311</v>
      </c>
      <c r="G21" s="16"/>
      <c r="H21" s="16"/>
      <c r="I21" s="16"/>
      <c r="J21" s="16"/>
    </row>
    <row r="22" spans="1:10" ht="25" x14ac:dyDescent="0.35">
      <c r="A22" s="12" t="s">
        <v>312</v>
      </c>
      <c r="B22" s="13" t="s">
        <v>313</v>
      </c>
      <c r="C22" s="14" t="s">
        <v>314</v>
      </c>
      <c r="D22" s="13" t="s">
        <v>315</v>
      </c>
      <c r="E22" s="13" t="s">
        <v>219</v>
      </c>
      <c r="F22" s="13" t="s">
        <v>316</v>
      </c>
      <c r="G22" s="16"/>
      <c r="H22" s="16"/>
      <c r="I22" s="16"/>
      <c r="J22" s="16"/>
    </row>
    <row r="23" spans="1:10" ht="25" x14ac:dyDescent="0.35">
      <c r="A23" s="12" t="s">
        <v>317</v>
      </c>
      <c r="B23" s="13" t="s">
        <v>318</v>
      </c>
      <c r="C23" s="14" t="s">
        <v>317</v>
      </c>
      <c r="D23" s="13" t="s">
        <v>319</v>
      </c>
      <c r="E23" s="13" t="s">
        <v>219</v>
      </c>
      <c r="F23" s="13" t="s">
        <v>320</v>
      </c>
      <c r="G23" s="16" t="s">
        <v>448</v>
      </c>
      <c r="H23" s="16"/>
      <c r="I23" s="16"/>
      <c r="J23" s="16"/>
    </row>
    <row r="24" spans="1:10" ht="25" x14ac:dyDescent="0.35">
      <c r="A24" s="12" t="s">
        <v>321</v>
      </c>
      <c r="B24" s="13" t="s">
        <v>322</v>
      </c>
      <c r="C24" s="14" t="s">
        <v>323</v>
      </c>
      <c r="D24" s="13" t="s">
        <v>324</v>
      </c>
      <c r="E24" s="13" t="s">
        <v>219</v>
      </c>
      <c r="F24" s="13" t="s">
        <v>325</v>
      </c>
      <c r="G24" s="16"/>
      <c r="H24" s="16"/>
      <c r="I24" s="16"/>
      <c r="J24" s="16"/>
    </row>
    <row r="25" spans="1:10" ht="25" x14ac:dyDescent="0.35">
      <c r="A25" s="12" t="s">
        <v>326</v>
      </c>
      <c r="B25" s="13" t="s">
        <v>327</v>
      </c>
      <c r="C25" s="14" t="s">
        <v>328</v>
      </c>
      <c r="D25" s="13" t="s">
        <v>329</v>
      </c>
      <c r="E25" s="13" t="s">
        <v>219</v>
      </c>
      <c r="F25" s="13" t="s">
        <v>330</v>
      </c>
      <c r="G25" s="16"/>
      <c r="H25" s="16"/>
      <c r="I25" s="16"/>
      <c r="J25" s="16"/>
    </row>
    <row r="26" spans="1:10" ht="25" x14ac:dyDescent="0.35">
      <c r="A26" s="12" t="s">
        <v>331</v>
      </c>
      <c r="B26" s="13" t="s">
        <v>332</v>
      </c>
      <c r="C26" s="14" t="s">
        <v>333</v>
      </c>
      <c r="D26" s="13" t="s">
        <v>334</v>
      </c>
      <c r="E26" s="13" t="s">
        <v>219</v>
      </c>
      <c r="F26" s="13" t="s">
        <v>335</v>
      </c>
      <c r="G26" s="16"/>
      <c r="H26" s="16"/>
      <c r="I26" s="16"/>
      <c r="J26" s="16"/>
    </row>
    <row r="27" spans="1:10" ht="25" x14ac:dyDescent="0.35">
      <c r="A27" s="12" t="s">
        <v>336</v>
      </c>
      <c r="B27" s="13" t="s">
        <v>337</v>
      </c>
      <c r="C27" s="14" t="s">
        <v>338</v>
      </c>
      <c r="D27" s="13" t="s">
        <v>339</v>
      </c>
      <c r="E27" s="13" t="s">
        <v>219</v>
      </c>
      <c r="F27" s="13" t="s">
        <v>340</v>
      </c>
      <c r="G27" s="16"/>
      <c r="H27" s="16"/>
      <c r="I27" s="16"/>
      <c r="J27" s="16"/>
    </row>
    <row r="28" spans="1:10" ht="25" x14ac:dyDescent="0.35">
      <c r="A28" s="12" t="s">
        <v>341</v>
      </c>
      <c r="B28" s="13" t="s">
        <v>342</v>
      </c>
      <c r="C28" s="14" t="s">
        <v>343</v>
      </c>
      <c r="D28" s="13" t="s">
        <v>344</v>
      </c>
      <c r="E28" s="13" t="s">
        <v>219</v>
      </c>
      <c r="F28" s="13" t="s">
        <v>345</v>
      </c>
      <c r="G28" s="16"/>
      <c r="H28" s="16"/>
      <c r="I28" s="16"/>
      <c r="J28" s="16"/>
    </row>
    <row r="29" spans="1:10" ht="25" x14ac:dyDescent="0.35">
      <c r="A29" s="12" t="s">
        <v>346</v>
      </c>
      <c r="B29" s="13" t="s">
        <v>347</v>
      </c>
      <c r="C29" s="14" t="s">
        <v>348</v>
      </c>
      <c r="D29" s="13" t="s">
        <v>349</v>
      </c>
      <c r="E29" s="13" t="s">
        <v>219</v>
      </c>
      <c r="F29" s="13" t="s">
        <v>350</v>
      </c>
      <c r="H29" s="16"/>
      <c r="I29" s="16"/>
      <c r="J29" s="16"/>
    </row>
    <row r="30" spans="1:10" ht="25" x14ac:dyDescent="0.35">
      <c r="A30" s="12" t="s">
        <v>351</v>
      </c>
      <c r="B30" s="13" t="s">
        <v>352</v>
      </c>
      <c r="C30" s="14" t="s">
        <v>353</v>
      </c>
      <c r="D30" s="13" t="s">
        <v>354</v>
      </c>
      <c r="E30" s="13" t="s">
        <v>219</v>
      </c>
      <c r="F30" s="13" t="s">
        <v>355</v>
      </c>
      <c r="G30" s="16"/>
      <c r="H30" s="16"/>
      <c r="I30" s="16"/>
      <c r="J30" s="16"/>
    </row>
    <row r="31" spans="1:10" ht="25" x14ac:dyDescent="0.35">
      <c r="A31" s="12" t="s">
        <v>356</v>
      </c>
      <c r="B31" s="13" t="s">
        <v>357</v>
      </c>
      <c r="C31" s="14" t="s">
        <v>358</v>
      </c>
      <c r="D31" s="13" t="s">
        <v>359</v>
      </c>
      <c r="E31" s="13" t="s">
        <v>219</v>
      </c>
      <c r="F31" s="13" t="s">
        <v>360</v>
      </c>
      <c r="G31" s="16"/>
      <c r="H31" s="16"/>
      <c r="I31" s="16"/>
      <c r="J31" s="16"/>
    </row>
    <row r="32" spans="1:10" ht="25" x14ac:dyDescent="0.35">
      <c r="A32" s="12" t="s">
        <v>361</v>
      </c>
      <c r="B32" s="13" t="s">
        <v>362</v>
      </c>
      <c r="C32" s="14" t="s">
        <v>363</v>
      </c>
      <c r="D32" s="13" t="s">
        <v>364</v>
      </c>
      <c r="E32" s="13" t="s">
        <v>219</v>
      </c>
      <c r="F32" s="13" t="s">
        <v>365</v>
      </c>
      <c r="G32" s="16"/>
      <c r="H32" s="16"/>
      <c r="I32" s="16"/>
      <c r="J32" s="16"/>
    </row>
    <row r="33" spans="1:10" ht="25" x14ac:dyDescent="0.35">
      <c r="A33" s="12" t="s">
        <v>366</v>
      </c>
      <c r="B33" s="13" t="s">
        <v>367</v>
      </c>
      <c r="C33" s="14" t="s">
        <v>368</v>
      </c>
      <c r="D33" s="13" t="s">
        <v>369</v>
      </c>
      <c r="E33" s="13" t="s">
        <v>219</v>
      </c>
      <c r="F33" s="13" t="s">
        <v>370</v>
      </c>
      <c r="G33" s="16"/>
      <c r="H33" s="16"/>
      <c r="I33" s="16"/>
      <c r="J33" s="16"/>
    </row>
  </sheetData>
  <dataValidations count="1">
    <dataValidation type="list" allowBlank="1" showErrorMessage="1" errorTitle="Rareté" error="Commune, Rare ou Légendaire" sqref="I2:I33" xr:uid="{00000000-0002-0000-0200-000000000000}">
      <formula1>"Commune,Rare,Légendaire"</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
  <sheetViews>
    <sheetView workbookViewId="0">
      <pane xSplit="3" ySplit="1" topLeftCell="D2" activePane="bottomRight" state="frozen"/>
      <selection pane="topRight"/>
      <selection pane="bottomLeft"/>
      <selection pane="bottomRight"/>
    </sheetView>
  </sheetViews>
  <sheetFormatPr baseColWidth="10" defaultColWidth="8.7265625" defaultRowHeight="14.5" x14ac:dyDescent="0.35"/>
  <cols>
    <col min="1" max="1" width="13" customWidth="1"/>
    <col min="2" max="2" width="11" customWidth="1"/>
    <col min="3" max="3" width="16" customWidth="1"/>
    <col min="4" max="4" width="40" customWidth="1"/>
    <col min="5" max="5" width="11" customWidth="1"/>
    <col min="6" max="6" width="50" customWidth="1"/>
    <col min="7" max="7" width="20" customWidth="1"/>
    <col min="8" max="8" width="40" customWidth="1"/>
    <col min="9" max="9" width="12" customWidth="1"/>
    <col min="10" max="10" width="42" customWidth="1"/>
  </cols>
  <sheetData>
    <row r="1" spans="1:10" ht="42" customHeight="1" x14ac:dyDescent="0.35">
      <c r="A1" s="10" t="s">
        <v>22</v>
      </c>
      <c r="B1" s="10" t="s">
        <v>371</v>
      </c>
      <c r="C1" s="10" t="s">
        <v>24</v>
      </c>
      <c r="D1" s="10" t="s">
        <v>25</v>
      </c>
      <c r="E1" s="10" t="s">
        <v>26</v>
      </c>
      <c r="F1" s="10" t="s">
        <v>372</v>
      </c>
      <c r="G1" s="11" t="s">
        <v>28</v>
      </c>
      <c r="H1" s="11" t="s">
        <v>29</v>
      </c>
      <c r="I1" s="11" t="s">
        <v>30</v>
      </c>
      <c r="J1" s="11" t="s">
        <v>373</v>
      </c>
    </row>
    <row r="2" spans="1:10" ht="25" x14ac:dyDescent="0.35">
      <c r="A2" s="12" t="s">
        <v>374</v>
      </c>
      <c r="B2" s="13" t="s">
        <v>375</v>
      </c>
      <c r="C2" s="14" t="s">
        <v>376</v>
      </c>
      <c r="D2" s="13" t="s">
        <v>377</v>
      </c>
      <c r="E2" s="18" t="s">
        <v>18</v>
      </c>
      <c r="F2" s="13" t="s">
        <v>378</v>
      </c>
      <c r="G2" s="16"/>
      <c r="H2" s="16"/>
      <c r="I2" s="16"/>
      <c r="J2" s="16"/>
    </row>
    <row r="3" spans="1:10" ht="25" x14ac:dyDescent="0.35">
      <c r="A3" s="12" t="s">
        <v>379</v>
      </c>
      <c r="B3" s="13" t="s">
        <v>375</v>
      </c>
      <c r="C3" s="14" t="s">
        <v>380</v>
      </c>
      <c r="D3" s="13" t="s">
        <v>381</v>
      </c>
      <c r="E3" s="18" t="s">
        <v>18</v>
      </c>
      <c r="F3" s="13" t="s">
        <v>382</v>
      </c>
      <c r="G3" s="16"/>
      <c r="H3" s="16"/>
      <c r="I3" s="16"/>
      <c r="J3" s="16"/>
    </row>
    <row r="4" spans="1:10" x14ac:dyDescent="0.35">
      <c r="A4" s="12" t="s">
        <v>383</v>
      </c>
      <c r="B4" s="13" t="s">
        <v>375</v>
      </c>
      <c r="C4" s="14" t="s">
        <v>384</v>
      </c>
      <c r="D4" s="13" t="s">
        <v>385</v>
      </c>
      <c r="E4" s="18" t="s">
        <v>18</v>
      </c>
      <c r="F4" s="13" t="s">
        <v>386</v>
      </c>
      <c r="G4" s="16"/>
      <c r="H4" s="16"/>
      <c r="I4" s="16"/>
      <c r="J4" s="16"/>
    </row>
  </sheetData>
  <dataValidations count="1">
    <dataValidation type="list" allowBlank="1" showErrorMessage="1" errorTitle="Rareté" error="Commune, Rare ou Légendaire" sqref="I2:I4" xr:uid="{00000000-0002-0000-0300-000000000000}">
      <formula1>"Commune,Rare,Légendaire"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Mode d'emploi</vt:lpstr>
      <vt:lpstr>Pièces</vt:lpstr>
      <vt:lpstr>Duos</vt:lpstr>
      <vt:lpstr>Parchemins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Antonin CROQUETTE</cp:lastModifiedBy>
  <dcterms:created xsi:type="dcterms:W3CDTF">2026-10-27T14:20:32Z</dcterms:created>
  <dcterms:modified xsi:type="dcterms:W3CDTF">2026-10-27T15:22:57Z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e7dfc5-2bf4-4a75-8664-2dc4b3bb1d09_Enabled">
    <vt:lpwstr>true</vt:lpwstr>
  </property>
  <property fmtid="{D5CDD505-2E9C-101B-9397-08002B2CF9AE}" pid="3" name="MSIP_Label_47e7dfc5-2bf4-4a75-8664-2dc4b3bb1d09_SetDate">
    <vt:lpwstr>2026-10-27T15:13:12Z</vt:lpwstr>
  </property>
  <property fmtid="{D5CDD505-2E9C-101B-9397-08002B2CF9AE}" pid="4" name="MSIP_Label_47e7dfc5-2bf4-4a75-8664-2dc4b3bb1d09_Method">
    <vt:lpwstr>Standard</vt:lpwstr>
  </property>
  <property fmtid="{D5CDD505-2E9C-101B-9397-08002B2CF9AE}" pid="5" name="MSIP_Label_47e7dfc5-2bf4-4a75-8664-2dc4b3bb1d09_Name">
    <vt:lpwstr>defa4170-0d19-0005-0004-bc88714345d2</vt:lpwstr>
  </property>
  <property fmtid="{D5CDD505-2E9C-101B-9397-08002B2CF9AE}" pid="6" name="MSIP_Label_47e7dfc5-2bf4-4a75-8664-2dc4b3bb1d09_SiteId">
    <vt:lpwstr>413600cf-bd4e-4c7c-8a61-69e73cddf731</vt:lpwstr>
  </property>
  <property fmtid="{D5CDD505-2E9C-101B-9397-08002B2CF9AE}" pid="7" name="MSIP_Label_47e7dfc5-2bf4-4a75-8664-2dc4b3bb1d09_ActionId">
    <vt:lpwstr>73639ab1-2465-4374-a9c8-79f3bf05bc76</vt:lpwstr>
  </property>
  <property fmtid="{D5CDD505-2E9C-101B-9397-08002B2CF9AE}" pid="8" name="MSIP_Label_47e7dfc5-2bf4-4a75-8664-2dc4b3bb1d09_ContentBits">
    <vt:lpwstr>0</vt:lpwstr>
  </property>
  <property fmtid="{D5CDD505-2E9C-101B-9397-08002B2CF9AE}" pid="9" name="MSIP_Label_47e7dfc5-2bf4-4a75-8664-2dc4b3bb1d09_Tag">
    <vt:lpwstr>10, 3, 0, 1</vt:lpwstr>
  </property>
</Properties>
</file>